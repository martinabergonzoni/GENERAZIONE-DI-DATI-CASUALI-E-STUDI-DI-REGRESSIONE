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marti\OneDrive\Desktop\"/>
    </mc:Choice>
  </mc:AlternateContent>
  <xr:revisionPtr revIDLastSave="0" documentId="13_ncr:1_{129260DB-9579-4AD8-8A79-19A524989818}" xr6:coauthVersionLast="47" xr6:coauthVersionMax="47" xr10:uidLastSave="{00000000-0000-0000-0000-000000000000}"/>
  <bookViews>
    <workbookView xWindow="-108" yWindow="-108" windowWidth="23256" windowHeight="12456" activeTab="5" xr2:uid="{AAF9C2DF-16AD-4704-A3B2-E0218316EE3A}"/>
  </bookViews>
  <sheets>
    <sheet name="Parameters" sheetId="1" r:id="rId1"/>
    <sheet name="Data" sheetId="2" r:id="rId2"/>
    <sheet name="Sample" sheetId="7" r:id="rId3"/>
    <sheet name="Statistical Insight" sheetId="4" r:id="rId4"/>
    <sheet name="(Un)correlated Variables" sheetId="5" r:id="rId5"/>
    <sheet name="Linear Regression" sheetId="6" r:id="rId6"/>
  </sheets>
  <definedNames>
    <definedName name="_xlnm._FilterDatabase" localSheetId="4" hidden="1">'(Un)correlated Variables'!$A$1:$C$251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P24" i="5"/>
  <c r="P23" i="5"/>
  <c r="P3" i="5"/>
  <c r="P2" i="5"/>
  <c r="B10" i="4"/>
  <c r="B9" i="4"/>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 i="7"/>
  <c r="B2" i="4" l="1"/>
  <c r="B13" i="4"/>
  <c r="B3" i="4"/>
  <c r="B5" i="4"/>
  <c r="B6" i="4" s="1"/>
  <c r="B4" i="4"/>
  <c r="B7" i="4" l="1"/>
  <c r="B11" i="4" s="1"/>
  <c r="B12" i="4" l="1"/>
</calcChain>
</file>

<file path=xl/sharedStrings.xml><?xml version="1.0" encoding="utf-8"?>
<sst xmlns="http://schemas.openxmlformats.org/spreadsheetml/2006/main" count="34" uniqueCount="30">
  <si>
    <t>Probability</t>
  </si>
  <si>
    <t>Mean</t>
  </si>
  <si>
    <t>StdDev</t>
  </si>
  <si>
    <t>Age</t>
  </si>
  <si>
    <t>Group</t>
  </si>
  <si>
    <t>Popolation variance</t>
  </si>
  <si>
    <t>Alpha</t>
  </si>
  <si>
    <t>Z-score</t>
  </si>
  <si>
    <t>Count (Sample)</t>
  </si>
  <si>
    <t>Expected Value (Sample)</t>
  </si>
  <si>
    <t>Population Std Dev</t>
  </si>
  <si>
    <t>Std Dev (Sample)</t>
  </si>
  <si>
    <t>Confidence Rate</t>
  </si>
  <si>
    <t>Confidence Interval (Lower)</t>
  </si>
  <si>
    <t>Confidence Interval (Upper)</t>
  </si>
  <si>
    <t>Standard error</t>
  </si>
  <si>
    <t>Estimation of p-parameter</t>
  </si>
  <si>
    <t>Sample</t>
  </si>
  <si>
    <r>
      <rPr>
        <b/>
        <sz val="12"/>
        <color theme="1"/>
        <rFont val="Aptos Narrow"/>
        <family val="2"/>
        <scheme val="minor"/>
      </rPr>
      <t>Numerosità campionaria:</t>
    </r>
    <r>
      <rPr>
        <sz val="12"/>
        <color theme="1"/>
        <rFont val="Aptos Narrow"/>
        <family val="2"/>
        <scheme val="minor"/>
      </rPr>
      <t xml:space="preserve"> il campione è stato estratto casualmente ed ha numerosità di 62 elementi. Tale valore consentirebbe tranquillamente l'utilizzo di una Distribuzione Normale, in quanto risulta già ben oltre la soglia minima di rappresentatività di 30 elementi.
</t>
    </r>
    <r>
      <rPr>
        <b/>
        <sz val="12"/>
        <color theme="1"/>
        <rFont val="Aptos Narrow"/>
        <family val="2"/>
        <scheme val="minor"/>
      </rPr>
      <t>Media campionaria</t>
    </r>
    <r>
      <rPr>
        <sz val="12"/>
        <color theme="1"/>
        <rFont val="Aptos Narrow"/>
        <family val="2"/>
        <scheme val="minor"/>
      </rPr>
      <t xml:space="preserve">: la media campionaria calcolata è di 44,27, valore molto vicino alla media della popolazione totale, ovvero 45 anni. Tale stima porta già inizialmente a considerare il campione come ben rappresentativo della popolazione. Infatti solo dalla numerosità campionaria non era possibile stabilire la bontà dei dati.
</t>
    </r>
    <r>
      <rPr>
        <b/>
        <sz val="12"/>
        <color theme="1"/>
        <rFont val="Aptos Narrow"/>
        <family val="2"/>
        <scheme val="minor"/>
      </rPr>
      <t>Deviazione Standard campionaria</t>
    </r>
    <r>
      <rPr>
        <sz val="12"/>
        <color theme="1"/>
        <rFont val="Aptos Narrow"/>
        <family val="2"/>
        <scheme val="minor"/>
      </rPr>
      <t xml:space="preserve">: la standard deviation del campione si calcola come la radice quadrata della varianza campionaria. E'  pari a 10,84, anche in questo caso molto vicino alla deviazione standard della popolazione, ovvero 10,62.
</t>
    </r>
    <r>
      <rPr>
        <b/>
        <sz val="12"/>
        <color theme="1"/>
        <rFont val="Aptos Narrow"/>
        <family val="2"/>
        <scheme val="minor"/>
      </rPr>
      <t xml:space="preserve">
Intervallo di confidenza</t>
    </r>
    <r>
      <rPr>
        <sz val="12"/>
        <color theme="1"/>
        <rFont val="Aptos Narrow"/>
        <family val="2"/>
        <scheme val="minor"/>
      </rPr>
      <t xml:space="preserve">: dallo studio emerge che, con una confidenza del 95%, possiamo stimare che la vera media si collochi all'interno dell'intervallo di età 40,92 - 46,21. In effetti, la media della popolazione è 45 e tale valore è perfettamente all'interno dell'intervallo calcolato. 
</t>
    </r>
    <r>
      <rPr>
        <b/>
        <sz val="12"/>
        <color theme="1"/>
        <rFont val="Aptos Narrow"/>
        <family val="2"/>
        <scheme val="minor"/>
      </rPr>
      <t>Confidence rate</t>
    </r>
    <r>
      <rPr>
        <sz val="12"/>
        <color theme="1"/>
        <rFont val="Aptos Narrow"/>
        <family val="2"/>
        <scheme val="minor"/>
      </rPr>
      <t xml:space="preserve">: si è scelto un tasso di confidenza pari a 0,95, con conseguente alpha pari a 1-0,95 = 0,05. Tali valori sono stati scelti di default, sulla base di una convezione che suggerisce che queste percentuali possano essere tra le migliori per assicurare una stima quanto più aderente al vero valore, o quantomento che consenta di lavorare con valori verosimili.
</t>
    </r>
    <r>
      <rPr>
        <b/>
        <sz val="12"/>
        <color theme="1"/>
        <rFont val="Aptos Narrow"/>
        <family val="2"/>
        <scheme val="minor"/>
      </rPr>
      <t xml:space="preserve">P-value: </t>
    </r>
    <r>
      <rPr>
        <sz val="12"/>
        <color theme="1"/>
        <rFont val="Aptos Narrow"/>
        <family val="2"/>
        <scheme val="minor"/>
      </rPr>
      <t>per valutare il valore emerso del p-value, è necessario fare un excurcusus sulle ipotesi scelte.
Infatti, la verifica sarà da fare sulle seguenti ipotesi:
- H</t>
    </r>
    <r>
      <rPr>
        <vertAlign val="subscript"/>
        <sz val="12"/>
        <color theme="1"/>
        <rFont val="Aptos Narrow"/>
        <family val="2"/>
        <scheme val="minor"/>
      </rPr>
      <t xml:space="preserve">0 </t>
    </r>
    <r>
      <rPr>
        <sz val="12"/>
        <color theme="1"/>
        <rFont val="Aptos Narrow"/>
        <family val="2"/>
        <scheme val="minor"/>
      </rPr>
      <t xml:space="preserve"> : x̅ = μ
- H</t>
    </r>
    <r>
      <rPr>
        <vertAlign val="subscript"/>
        <sz val="12"/>
        <color theme="1"/>
        <rFont val="Aptos Narrow"/>
        <family val="2"/>
        <scheme val="minor"/>
      </rPr>
      <t>1</t>
    </r>
    <r>
      <rPr>
        <sz val="12"/>
        <color theme="1"/>
        <rFont val="Aptos Narrow"/>
        <family val="2"/>
        <scheme val="minor"/>
      </rPr>
      <t xml:space="preserve">  : x̅ ≠ μ
Dal calcolo del p-value, abbiamo ricavato il valore 0,827, che risulta essere significativamente maggiore dell'indice Alpha di 0,05. 
Quanto emerso ci porta ad accettare l'ipotesi nulla H</t>
    </r>
    <r>
      <rPr>
        <vertAlign val="subscript"/>
        <sz val="12"/>
        <color theme="1"/>
        <rFont val="Aptos Narrow"/>
        <family val="2"/>
        <scheme val="minor"/>
      </rPr>
      <t xml:space="preserve">0 </t>
    </r>
    <r>
      <rPr>
        <sz val="12"/>
        <color theme="1"/>
        <rFont val="Aptos Narrow"/>
        <family val="2"/>
        <scheme val="minor"/>
      </rPr>
      <t xml:space="preserve"> e a dichiarare con un ottimo livello di significatività che la media campionaria è rappresentativa della popolazione.</t>
    </r>
  </si>
  <si>
    <t>Sample data</t>
  </si>
  <si>
    <t>Number of cats</t>
  </si>
  <si>
    <t>Age of partner</t>
  </si>
  <si>
    <t>Covarianza</t>
  </si>
  <si>
    <t>Pearson</t>
  </si>
  <si>
    <r>
      <t xml:space="preserve">Anche in questo caso è possibile osservare uno stato di non correlazione tra le due variabili, reso evidente, come nel caso del numero di gatti, sia dal grafico, sia dallo coefficiente di correlazione di Pearson:
- dal </t>
    </r>
    <r>
      <rPr>
        <b/>
        <sz val="11"/>
        <color theme="1"/>
        <rFont val="Aptos Narrow"/>
        <family val="2"/>
        <scheme val="minor"/>
      </rPr>
      <t>grafico</t>
    </r>
    <r>
      <rPr>
        <sz val="11"/>
        <color theme="1"/>
        <rFont val="Aptos Narrow"/>
        <family val="2"/>
        <scheme val="minor"/>
      </rPr>
      <t xml:space="preserve"> è possibile notare una distribuzione casuale dei punti, assolutamente incoerenti con la retta di regressione che si è venuta a creare. Tale retta ci restituisce una piccola informazione, ossia che la debole correlazione che si è venuta a creare ha carattere negativo - al diminuire dell'età del campione, aumenta l'età del partner. 
- il </t>
    </r>
    <r>
      <rPr>
        <b/>
        <sz val="11"/>
        <color theme="1"/>
        <rFont val="Aptos Narrow"/>
        <family val="2"/>
        <scheme val="minor"/>
      </rPr>
      <t>coeffiente di Pearson</t>
    </r>
    <r>
      <rPr>
        <sz val="11"/>
        <color theme="1"/>
        <rFont val="Aptos Narrow"/>
        <family val="2"/>
        <scheme val="minor"/>
      </rPr>
      <t xml:space="preserve"> ricavato, ovvero -0,20853, riassume benissimo le due informazioni restituite anche dal grafico, ovvero una correlazione molto molto debole, quasi nulla e una caratterizzazione negativa.</t>
    </r>
  </si>
  <si>
    <r>
      <t>In entrambi i casi, il valore di R</t>
    </r>
    <r>
      <rPr>
        <vertAlign val="superscript"/>
        <sz val="11"/>
        <color theme="1"/>
        <rFont val="Aptos Narrow"/>
        <family val="2"/>
        <scheme val="minor"/>
      </rPr>
      <t xml:space="preserve">2 </t>
    </r>
    <r>
      <rPr>
        <sz val="11"/>
        <color theme="1"/>
        <rFont val="Aptos Narrow"/>
        <family val="2"/>
        <scheme val="minor"/>
      </rPr>
      <t xml:space="preserve"> è molto prossimo allo 0 (0,0151 nel primo caso e 0,0435 nel secondo). R</t>
    </r>
    <r>
      <rPr>
        <vertAlign val="superscript"/>
        <sz val="11"/>
        <color theme="1"/>
        <rFont val="Aptos Narrow"/>
        <family val="2"/>
        <scheme val="minor"/>
      </rPr>
      <t xml:space="preserve">2  </t>
    </r>
    <r>
      <rPr>
        <sz val="11"/>
        <color theme="1"/>
        <rFont val="Aptos Narrow"/>
        <family val="2"/>
        <scheme val="minor"/>
      </rPr>
      <t xml:space="preserve"> si chiama coefficiente di determinazione e serve a capire quanto il modello utilizzato è adatto a spiegare la variabilità dei dati. In questo caso, nessuno dei due modelli spiega bene i dati, in quanto questi sono incorrelati e non è praticamente possibile identificare un modello coerente. In sostanza, il modello non spiega i dati perchè i dati non sono correlati.</t>
    </r>
  </si>
  <si>
    <t>Y (age)</t>
  </si>
  <si>
    <t>X (rank)</t>
  </si>
  <si>
    <t>Previsione (160)</t>
  </si>
  <si>
    <r>
      <t>Diversi sono i fatttori che ci fanno intuire che la correlazione tra le variabili "Età del campione" e "Numero di gatti" è molto bassa (praticamente inesistente) e, se proprio dobbiamo darle un verso, risulta essere quello negativo.
Dal</t>
    </r>
    <r>
      <rPr>
        <b/>
        <sz val="11"/>
        <color theme="1"/>
        <rFont val="Aptos Narrow"/>
        <family val="2"/>
        <scheme val="minor"/>
      </rPr>
      <t xml:space="preserve"> grafico</t>
    </r>
    <r>
      <rPr>
        <sz val="11"/>
        <color theme="1"/>
        <rFont val="Aptos Narrow"/>
        <family val="2"/>
        <scheme val="minor"/>
      </rPr>
      <t xml:space="preserve"> è evidente come i dots non seguano una direzione precisa e si spargano in maniera abbastanza uniforme lungo il grafico, mantenendo distanze casuali dalla retta di regressione.
La retta, invece, segue una traiettoria leggermente negativa.
Queste due informazioni sono perfettamente rappresentate dal </t>
    </r>
    <r>
      <rPr>
        <b/>
        <sz val="11"/>
        <color theme="1"/>
        <rFont val="Aptos Narrow"/>
        <family val="2"/>
        <scheme val="minor"/>
      </rPr>
      <t>Coefficiente di Pearson</t>
    </r>
    <r>
      <rPr>
        <sz val="11"/>
        <color theme="1"/>
        <rFont val="Aptos Narrow"/>
        <family val="2"/>
        <scheme val="minor"/>
      </rPr>
      <t>, che assume valore -0,12284: esso ci  indica con il segno meno che ci stiamo interfacciando con una correlazione negativa - pertanto all'aumentare dell'età diminuiranno il numero di gatti (e viceversa) - ma soprattutto con una correlazione molto debole e quasi prossima allo 0.
Tali risultati ci portano a dire che le due variabili sono quasi incorrelate o se lo sono, è un legame estramente debole e poco degno di nota.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</si>
</sst>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2"/>
      <color rgb="FF0070C0"/>
      <name val="Comic Sans MS"/>
      <family val="4"/>
    </font>
    <font>
      <b/>
      <sz val="12"/>
      <color theme="1"/>
      <name val="Aptos Narrow"/>
      <family val="2"/>
      <scheme val="minor"/>
    </font>
    <font>
      <sz val="12"/>
      <color theme="1"/>
      <name val="Aptos Narrow"/>
      <family val="2"/>
      <scheme val="minor"/>
    </font>
    <font>
      <sz val="10"/>
      <color theme="1"/>
      <name val="Arial"/>
      <family val="2"/>
    </font>
    <font>
      <b/>
      <sz val="11"/>
      <color theme="1"/>
      <name val="Aptos Narrow"/>
      <family val="2"/>
      <scheme val="minor"/>
    </font>
    <font>
      <vertAlign val="subscript"/>
      <sz val="12"/>
      <color theme="1"/>
      <name val="Aptos Narrow"/>
      <family val="2"/>
      <scheme val="minor"/>
    </font>
    <font>
      <vertAlign val="superscrip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2">
    <border>
      <left/>
      <right/>
      <top/>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1" fillId="0" borderId="1" xfId="0" applyFont="1" applyBorder="1"/>
    <xf numFmtId="0" fontId="0" fillId="0" borderId="3" xfId="0" applyBorder="1"/>
    <xf numFmtId="1" fontId="0" fillId="0" borderId="2" xfId="0" applyNumberFormat="1" applyBorder="1" applyAlignment="1">
      <alignment horizontal="center" vertical="center"/>
    </xf>
    <xf numFmtId="0" fontId="0" fillId="0" borderId="2" xfId="0" applyBorder="1" applyAlignment="1">
      <alignment horizontal="center" vertical="center"/>
    </xf>
    <xf numFmtId="0" fontId="1" fillId="0" borderId="1" xfId="0" applyFont="1" applyBorder="1" applyAlignment="1">
      <alignment horizontal="center"/>
    </xf>
    <xf numFmtId="1" fontId="0" fillId="0" borderId="0" xfId="0" applyNumberFormat="1"/>
    <xf numFmtId="2" fontId="0" fillId="0" borderId="3" xfId="0" applyNumberFormat="1" applyBorder="1"/>
    <xf numFmtId="1" fontId="0" fillId="0" borderId="3" xfId="0" applyNumberFormat="1" applyBorder="1"/>
    <xf numFmtId="2" fontId="0" fillId="0" borderId="2" xfId="0" applyNumberFormat="1" applyBorder="1"/>
    <xf numFmtId="0" fontId="1" fillId="2" borderId="1" xfId="0" applyFont="1" applyFill="1" applyBorder="1"/>
    <xf numFmtId="0" fontId="4" fillId="0" borderId="2" xfId="0" applyFont="1" applyBorder="1"/>
    <xf numFmtId="0" fontId="3" fillId="0" borderId="0" xfId="0" applyFont="1" applyAlignment="1">
      <alignment vertical="top" wrapText="1"/>
    </xf>
    <xf numFmtId="0" fontId="0" fillId="0" borderId="2" xfId="0" applyBorder="1"/>
    <xf numFmtId="0" fontId="0" fillId="0" borderId="0" xfId="0" applyAlignment="1">
      <alignment vertical="top"/>
    </xf>
    <xf numFmtId="0" fontId="3" fillId="0" borderId="2"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0" xfId="0" applyAlignment="1">
      <alignment vertical="top" wrapText="1"/>
    </xf>
    <xf numFmtId="0" fontId="0" fillId="0" borderId="2" xfId="0" applyBorder="1" applyAlignment="1">
      <alignment horizontal="left" vertical="top" wrapText="1"/>
    </xf>
    <xf numFmtId="0" fontId="1" fillId="0" borderId="1" xfId="0" applyFont="1" applyBorder="1" applyAlignment="1">
      <alignment horizontal="center"/>
      <extLst>
        <ext xmlns:xfpb="http://schemas.microsoft.com/office/spreadsheetml/2022/featurepropertybag" uri="{C7286773-470A-42A8-94C5-96B5CB345126}">
          <xfpb:xfComplement i="0"/>
        </ext>
      </extLst>
    </xf>
    <xf numFmtId="1" fontId="0" fillId="0" borderId="2" xfId="0" applyNumberFormat="1" applyBorder="1" applyAlignment="1">
      <alignment horizontal="center" vertical="center"/>
      <extLst>
        <ext xmlns:xfpb="http://schemas.microsoft.com/office/spreadsheetml/2022/featurepropertybag" uri="{C7286773-470A-42A8-94C5-96B5CB345126}">
          <xfpb:xfComplement i="0"/>
        </ext>
      </extLst>
    </xf>
  </cellXfs>
  <cellStyles count="1">
    <cellStyle name="Normale" xfId="0" builtinId="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it-IT"/>
              <a:t>Relazione tra età del campione e numero di gatti</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it-IT"/>
        </a:p>
      </c:txPr>
    </c:title>
    <c:autoTitleDeleted val="0"/>
    <c:plotArea>
      <c:layout/>
      <c:scatterChart>
        <c:scatterStyle val="lineMarker"/>
        <c:varyColors val="0"/>
        <c:ser>
          <c:idx val="0"/>
          <c:order val="0"/>
          <c:tx>
            <c:strRef>
              <c:f>'(Un)correlated Variables'!$B$1</c:f>
              <c:strCache>
                <c:ptCount val="1"/>
                <c:pt idx="0">
                  <c:v>Number of cats</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forward val="2"/>
            <c:dispRSqr val="0"/>
            <c:dispEq val="0"/>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7.350601519384857E-2"/>
                  <c:y val="-0.24719254369298113"/>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a:t>y = -0,0196x + 3,497</a:t>
                    </a:r>
                    <a:br>
                      <a:rPr lang="en-US"/>
                    </a:br>
                    <a:r>
                      <a:rPr lang="en-US"/>
                      <a:t>R² = 0,0151</a:t>
                    </a: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'(Un)correlated Variables'!$A$2:$A$63</c:f>
              <c:numCache>
                <c:formatCode>0</c:formatCode>
                <c:ptCount val="62"/>
                <c:pt idx="0">
                  <c:v>74.058080290343867</c:v>
                </c:pt>
                <c:pt idx="1">
                  <c:v>41.264322093905861</c:v>
                </c:pt>
                <c:pt idx="2">
                  <c:v>47.419484673348954</c:v>
                </c:pt>
                <c:pt idx="3">
                  <c:v>44.539427805401246</c:v>
                </c:pt>
                <c:pt idx="4">
                  <c:v>38.322041337350541</c:v>
                </c:pt>
                <c:pt idx="5">
                  <c:v>46.400955943840358</c:v>
                </c:pt>
                <c:pt idx="6">
                  <c:v>47.259858856446407</c:v>
                </c:pt>
                <c:pt idx="7">
                  <c:v>26.783504447135488</c:v>
                </c:pt>
                <c:pt idx="8">
                  <c:v>38.298057013364549</c:v>
                </c:pt>
                <c:pt idx="9">
                  <c:v>33.39812826578877</c:v>
                </c:pt>
                <c:pt idx="10">
                  <c:v>45.358943540650955</c:v>
                </c:pt>
                <c:pt idx="11">
                  <c:v>50.632620297160514</c:v>
                </c:pt>
                <c:pt idx="12">
                  <c:v>31.422227409123785</c:v>
                </c:pt>
                <c:pt idx="13">
                  <c:v>44.758018171337334</c:v>
                </c:pt>
                <c:pt idx="14">
                  <c:v>55.775016580361566</c:v>
                </c:pt>
                <c:pt idx="15">
                  <c:v>47.539830032614702</c:v>
                </c:pt>
                <c:pt idx="16">
                  <c:v>41.755300372804022</c:v>
                </c:pt>
                <c:pt idx="17">
                  <c:v>46.163168773755615</c:v>
                </c:pt>
                <c:pt idx="18">
                  <c:v>46.136788585204464</c:v>
                </c:pt>
                <c:pt idx="19">
                  <c:v>57.167625279304289</c:v>
                </c:pt>
                <c:pt idx="20">
                  <c:v>45.807149417815964</c:v>
                </c:pt>
                <c:pt idx="21">
                  <c:v>54.417109697371473</c:v>
                </c:pt>
                <c:pt idx="22">
                  <c:v>22.795715125199802</c:v>
                </c:pt>
                <c:pt idx="23">
                  <c:v>47.065535987975778</c:v>
                </c:pt>
                <c:pt idx="24">
                  <c:v>38.913860242410195</c:v>
                </c:pt>
                <c:pt idx="25">
                  <c:v>40.27514638035062</c:v>
                </c:pt>
                <c:pt idx="26">
                  <c:v>46.295952087315186</c:v>
                </c:pt>
                <c:pt idx="27">
                  <c:v>24.251851405354174</c:v>
                </c:pt>
                <c:pt idx="28">
                  <c:v>48.114629308608926</c:v>
                </c:pt>
                <c:pt idx="29">
                  <c:v>53.901288728179637</c:v>
                </c:pt>
                <c:pt idx="30">
                  <c:v>41.96689139564964</c:v>
                </c:pt>
                <c:pt idx="31">
                  <c:v>63.230234035411172</c:v>
                </c:pt>
                <c:pt idx="32">
                  <c:v>58.315436141465504</c:v>
                </c:pt>
                <c:pt idx="33">
                  <c:v>53.211086232033729</c:v>
                </c:pt>
                <c:pt idx="34">
                  <c:v>48.239722186811051</c:v>
                </c:pt>
                <c:pt idx="35">
                  <c:v>45.58286487284655</c:v>
                </c:pt>
                <c:pt idx="36">
                  <c:v>62.634354224068289</c:v>
                </c:pt>
                <c:pt idx="37">
                  <c:v>43.145385849222947</c:v>
                </c:pt>
                <c:pt idx="38">
                  <c:v>33.767943593027681</c:v>
                </c:pt>
                <c:pt idx="39">
                  <c:v>41.149067972700578</c:v>
                </c:pt>
                <c:pt idx="40">
                  <c:v>46.802318015155699</c:v>
                </c:pt>
                <c:pt idx="41">
                  <c:v>25.083310867852131</c:v>
                </c:pt>
                <c:pt idx="42">
                  <c:v>44.128607780461948</c:v>
                </c:pt>
                <c:pt idx="43">
                  <c:v>61.186051635638165</c:v>
                </c:pt>
                <c:pt idx="44">
                  <c:v>32.044498584824041</c:v>
                </c:pt>
                <c:pt idx="45">
                  <c:v>48.164289303580041</c:v>
                </c:pt>
                <c:pt idx="46">
                  <c:v>35.761167421870091</c:v>
                </c:pt>
                <c:pt idx="47">
                  <c:v>36.383428915193484</c:v>
                </c:pt>
                <c:pt idx="48">
                  <c:v>45.946939952174993</c:v>
                </c:pt>
                <c:pt idx="49">
                  <c:v>50.689314516525869</c:v>
                </c:pt>
                <c:pt idx="50">
                  <c:v>62.973766981390817</c:v>
                </c:pt>
                <c:pt idx="51">
                  <c:v>63.243779864320103</c:v>
                </c:pt>
                <c:pt idx="52">
                  <c:v>50.464453162353827</c:v>
                </c:pt>
                <c:pt idx="53">
                  <c:v>25.119860153380209</c:v>
                </c:pt>
                <c:pt idx="54">
                  <c:v>31.9166175929536</c:v>
                </c:pt>
                <c:pt idx="55">
                  <c:v>44.841013550478422</c:v>
                </c:pt>
                <c:pt idx="56">
                  <c:v>26.821947460090666</c:v>
                </c:pt>
                <c:pt idx="57">
                  <c:v>47.770490232046669</c:v>
                </c:pt>
                <c:pt idx="58">
                  <c:v>40.691717562173388</c:v>
                </c:pt>
                <c:pt idx="59">
                  <c:v>33.795463555870263</c:v>
                </c:pt>
                <c:pt idx="60">
                  <c:v>28.209204177086111</c:v>
                </c:pt>
                <c:pt idx="61">
                  <c:v>45.341733869162809</c:v>
                </c:pt>
              </c:numCache>
            </c:numRef>
          </c:xVal>
          <c:yVal>
            <c:numRef>
              <c:f>'(Un)correlated Variables'!$B$2:$B$63</c:f>
              <c:numCache>
                <c:formatCode>General</c:formatCode>
                <c:ptCount val="62"/>
                <c:pt idx="0">
                  <c:v>5</c:v>
                </c:pt>
                <c:pt idx="1">
                  <c:v>1</c:v>
                </c:pt>
                <c:pt idx="2">
                  <c:v>4</c:v>
                </c:pt>
                <c:pt idx="3">
                  <c:v>2</c:v>
                </c:pt>
                <c:pt idx="4">
                  <c:v>2</c:v>
                </c:pt>
                <c:pt idx="5">
                  <c:v>5</c:v>
                </c:pt>
                <c:pt idx="6">
                  <c:v>5</c:v>
                </c:pt>
                <c:pt idx="7">
                  <c:v>1</c:v>
                </c:pt>
                <c:pt idx="8">
                  <c:v>3</c:v>
                </c:pt>
                <c:pt idx="9">
                  <c:v>5</c:v>
                </c:pt>
                <c:pt idx="10">
                  <c:v>0</c:v>
                </c:pt>
                <c:pt idx="11">
                  <c:v>4</c:v>
                </c:pt>
                <c:pt idx="12">
                  <c:v>2</c:v>
                </c:pt>
                <c:pt idx="13">
                  <c:v>4</c:v>
                </c:pt>
                <c:pt idx="14">
                  <c:v>1</c:v>
                </c:pt>
                <c:pt idx="15">
                  <c:v>2</c:v>
                </c:pt>
                <c:pt idx="16">
                  <c:v>5</c:v>
                </c:pt>
                <c:pt idx="17">
                  <c:v>3</c:v>
                </c:pt>
                <c:pt idx="18">
                  <c:v>1</c:v>
                </c:pt>
                <c:pt idx="19">
                  <c:v>1</c:v>
                </c:pt>
                <c:pt idx="20">
                  <c:v>3</c:v>
                </c:pt>
                <c:pt idx="21">
                  <c:v>0</c:v>
                </c:pt>
                <c:pt idx="22">
                  <c:v>3</c:v>
                </c:pt>
                <c:pt idx="23">
                  <c:v>0</c:v>
                </c:pt>
                <c:pt idx="24">
                  <c:v>2</c:v>
                </c:pt>
                <c:pt idx="25">
                  <c:v>0</c:v>
                </c:pt>
                <c:pt idx="26">
                  <c:v>1</c:v>
                </c:pt>
                <c:pt idx="27">
                  <c:v>0</c:v>
                </c:pt>
                <c:pt idx="28">
                  <c:v>2</c:v>
                </c:pt>
                <c:pt idx="29">
                  <c:v>0</c:v>
                </c:pt>
                <c:pt idx="30">
                  <c:v>4</c:v>
                </c:pt>
                <c:pt idx="31">
                  <c:v>5</c:v>
                </c:pt>
                <c:pt idx="32">
                  <c:v>2</c:v>
                </c:pt>
                <c:pt idx="33">
                  <c:v>1</c:v>
                </c:pt>
                <c:pt idx="34">
                  <c:v>4</c:v>
                </c:pt>
                <c:pt idx="35">
                  <c:v>5</c:v>
                </c:pt>
                <c:pt idx="36">
                  <c:v>1</c:v>
                </c:pt>
                <c:pt idx="37">
                  <c:v>4</c:v>
                </c:pt>
                <c:pt idx="38">
                  <c:v>4</c:v>
                </c:pt>
                <c:pt idx="39">
                  <c:v>2</c:v>
                </c:pt>
                <c:pt idx="40">
                  <c:v>0</c:v>
                </c:pt>
                <c:pt idx="41">
                  <c:v>2</c:v>
                </c:pt>
                <c:pt idx="42">
                  <c:v>5</c:v>
                </c:pt>
                <c:pt idx="43">
                  <c:v>0</c:v>
                </c:pt>
                <c:pt idx="44">
                  <c:v>2</c:v>
                </c:pt>
                <c:pt idx="45">
                  <c:v>3</c:v>
                </c:pt>
                <c:pt idx="46">
                  <c:v>5</c:v>
                </c:pt>
                <c:pt idx="47">
                  <c:v>1</c:v>
                </c:pt>
                <c:pt idx="48">
                  <c:v>1</c:v>
                </c:pt>
                <c:pt idx="49">
                  <c:v>0</c:v>
                </c:pt>
                <c:pt idx="50">
                  <c:v>3</c:v>
                </c:pt>
                <c:pt idx="51">
                  <c:v>3</c:v>
                </c:pt>
                <c:pt idx="52">
                  <c:v>4</c:v>
                </c:pt>
                <c:pt idx="53">
                  <c:v>4</c:v>
                </c:pt>
                <c:pt idx="54">
                  <c:v>5</c:v>
                </c:pt>
                <c:pt idx="55">
                  <c:v>3</c:v>
                </c:pt>
                <c:pt idx="56">
                  <c:v>5</c:v>
                </c:pt>
                <c:pt idx="57">
                  <c:v>2</c:v>
                </c:pt>
                <c:pt idx="58">
                  <c:v>5</c:v>
                </c:pt>
                <c:pt idx="59">
                  <c:v>4</c:v>
                </c:pt>
                <c:pt idx="60">
                  <c:v>4</c:v>
                </c:pt>
                <c:pt idx="61">
                  <c:v>3</c:v>
                </c:pt>
              </c:numCache>
            </c:numRef>
          </c:yVal>
          <c:smooth val="0"/>
          <c:extLst>
            <c:ext xmlns:c16="http://schemas.microsoft.com/office/drawing/2014/chart" uri="{C3380CC4-5D6E-409C-BE32-E72D297353CC}">
              <c16:uniqueId val="{00000000-64B2-4A26-982B-0BEF488A2645}"/>
            </c:ext>
          </c:extLst>
        </c:ser>
        <c:dLbls>
          <c:showLegendKey val="0"/>
          <c:showVal val="0"/>
          <c:showCatName val="0"/>
          <c:showSerName val="0"/>
          <c:showPercent val="0"/>
          <c:showBubbleSize val="0"/>
        </c:dLbls>
        <c:axId val="481040032"/>
        <c:axId val="481036192"/>
      </c:scatterChart>
      <c:valAx>
        <c:axId val="481040032"/>
        <c:scaling>
          <c:orientation val="minMax"/>
          <c:min val="2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it-IT"/>
                  <a:t>Età del campione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t-IT"/>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t-IT"/>
          </a:p>
        </c:txPr>
        <c:crossAx val="481036192"/>
        <c:crosses val="autoZero"/>
        <c:crossBetween val="midCat"/>
      </c:valAx>
      <c:valAx>
        <c:axId val="481036192"/>
        <c:scaling>
          <c:orientation val="minMax"/>
          <c:max val="5.5"/>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it-IT"/>
                  <a:t>Numero di gatti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t-IT"/>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t-IT"/>
          </a:p>
        </c:txPr>
        <c:crossAx val="48104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Relazione tra età del campione ed età del partner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'(Un)correlated Variables'!$C$1</c:f>
              <c:strCache>
                <c:ptCount val="1"/>
                <c:pt idx="0">
                  <c:v>Age of partner</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7.2336228989075574E-2"/>
                  <c:y val="-0.33292511620404991"/>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a:t>y = -0,3289x + 66,303</a:t>
                    </a:r>
                    <a:br>
                      <a:rPr lang="en-US"/>
                    </a:br>
                    <a:r>
                      <a:rPr lang="en-US"/>
                      <a:t>R² = 0,0435</a:t>
                    </a: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'(Un)correlated Variables'!$A$2:$A$63</c:f>
              <c:numCache>
                <c:formatCode>0</c:formatCode>
                <c:ptCount val="62"/>
                <c:pt idx="0">
                  <c:v>74.058080290343867</c:v>
                </c:pt>
                <c:pt idx="1">
                  <c:v>41.264322093905861</c:v>
                </c:pt>
                <c:pt idx="2">
                  <c:v>47.419484673348954</c:v>
                </c:pt>
                <c:pt idx="3">
                  <c:v>44.539427805401246</c:v>
                </c:pt>
                <c:pt idx="4">
                  <c:v>38.322041337350541</c:v>
                </c:pt>
                <c:pt idx="5">
                  <c:v>46.400955943840358</c:v>
                </c:pt>
                <c:pt idx="6">
                  <c:v>47.259858856446407</c:v>
                </c:pt>
                <c:pt idx="7">
                  <c:v>26.783504447135488</c:v>
                </c:pt>
                <c:pt idx="8">
                  <c:v>38.298057013364549</c:v>
                </c:pt>
                <c:pt idx="9">
                  <c:v>33.39812826578877</c:v>
                </c:pt>
                <c:pt idx="10">
                  <c:v>45.358943540650955</c:v>
                </c:pt>
                <c:pt idx="11">
                  <c:v>50.632620297160514</c:v>
                </c:pt>
                <c:pt idx="12">
                  <c:v>31.422227409123785</c:v>
                </c:pt>
                <c:pt idx="13">
                  <c:v>44.758018171337334</c:v>
                </c:pt>
                <c:pt idx="14">
                  <c:v>55.775016580361566</c:v>
                </c:pt>
                <c:pt idx="15">
                  <c:v>47.539830032614702</c:v>
                </c:pt>
                <c:pt idx="16">
                  <c:v>41.755300372804022</c:v>
                </c:pt>
                <c:pt idx="17">
                  <c:v>46.163168773755615</c:v>
                </c:pt>
                <c:pt idx="18">
                  <c:v>46.136788585204464</c:v>
                </c:pt>
                <c:pt idx="19">
                  <c:v>57.167625279304289</c:v>
                </c:pt>
                <c:pt idx="20">
                  <c:v>45.807149417815964</c:v>
                </c:pt>
                <c:pt idx="21">
                  <c:v>54.417109697371473</c:v>
                </c:pt>
                <c:pt idx="22">
                  <c:v>22.795715125199802</c:v>
                </c:pt>
                <c:pt idx="23">
                  <c:v>47.065535987975778</c:v>
                </c:pt>
                <c:pt idx="24">
                  <c:v>38.913860242410195</c:v>
                </c:pt>
                <c:pt idx="25">
                  <c:v>40.27514638035062</c:v>
                </c:pt>
                <c:pt idx="26">
                  <c:v>46.295952087315186</c:v>
                </c:pt>
                <c:pt idx="27">
                  <c:v>24.251851405354174</c:v>
                </c:pt>
                <c:pt idx="28">
                  <c:v>48.114629308608926</c:v>
                </c:pt>
                <c:pt idx="29">
                  <c:v>53.901288728179637</c:v>
                </c:pt>
                <c:pt idx="30">
                  <c:v>41.96689139564964</c:v>
                </c:pt>
                <c:pt idx="31">
                  <c:v>63.230234035411172</c:v>
                </c:pt>
                <c:pt idx="32">
                  <c:v>58.315436141465504</c:v>
                </c:pt>
                <c:pt idx="33">
                  <c:v>53.211086232033729</c:v>
                </c:pt>
                <c:pt idx="34">
                  <c:v>48.239722186811051</c:v>
                </c:pt>
                <c:pt idx="35">
                  <c:v>45.58286487284655</c:v>
                </c:pt>
                <c:pt idx="36">
                  <c:v>62.634354224068289</c:v>
                </c:pt>
                <c:pt idx="37">
                  <c:v>43.145385849222947</c:v>
                </c:pt>
                <c:pt idx="38">
                  <c:v>33.767943593027681</c:v>
                </c:pt>
                <c:pt idx="39">
                  <c:v>41.149067972700578</c:v>
                </c:pt>
                <c:pt idx="40">
                  <c:v>46.802318015155699</c:v>
                </c:pt>
                <c:pt idx="41">
                  <c:v>25.083310867852131</c:v>
                </c:pt>
                <c:pt idx="42">
                  <c:v>44.128607780461948</c:v>
                </c:pt>
                <c:pt idx="43">
                  <c:v>61.186051635638165</c:v>
                </c:pt>
                <c:pt idx="44">
                  <c:v>32.044498584824041</c:v>
                </c:pt>
                <c:pt idx="45">
                  <c:v>48.164289303580041</c:v>
                </c:pt>
                <c:pt idx="46">
                  <c:v>35.761167421870091</c:v>
                </c:pt>
                <c:pt idx="47">
                  <c:v>36.383428915193484</c:v>
                </c:pt>
                <c:pt idx="48">
                  <c:v>45.946939952174993</c:v>
                </c:pt>
                <c:pt idx="49">
                  <c:v>50.689314516525869</c:v>
                </c:pt>
                <c:pt idx="50">
                  <c:v>62.973766981390817</c:v>
                </c:pt>
                <c:pt idx="51">
                  <c:v>63.243779864320103</c:v>
                </c:pt>
                <c:pt idx="52">
                  <c:v>50.464453162353827</c:v>
                </c:pt>
                <c:pt idx="53">
                  <c:v>25.119860153380209</c:v>
                </c:pt>
                <c:pt idx="54">
                  <c:v>31.9166175929536</c:v>
                </c:pt>
                <c:pt idx="55">
                  <c:v>44.841013550478422</c:v>
                </c:pt>
                <c:pt idx="56">
                  <c:v>26.821947460090666</c:v>
                </c:pt>
                <c:pt idx="57">
                  <c:v>47.770490232046669</c:v>
                </c:pt>
                <c:pt idx="58">
                  <c:v>40.691717562173388</c:v>
                </c:pt>
                <c:pt idx="59">
                  <c:v>33.795463555870263</c:v>
                </c:pt>
                <c:pt idx="60">
                  <c:v>28.209204177086111</c:v>
                </c:pt>
                <c:pt idx="61">
                  <c:v>45.341733869162809</c:v>
                </c:pt>
              </c:numCache>
            </c:numRef>
          </c:xVal>
          <c:yVal>
            <c:numRef>
              <c:f>'(Un)correlated Variables'!$C$2:$C$63</c:f>
              <c:numCache>
                <c:formatCode>General</c:formatCode>
                <c:ptCount val="62"/>
                <c:pt idx="0">
                  <c:v>48</c:v>
                </c:pt>
                <c:pt idx="1">
                  <c:v>34</c:v>
                </c:pt>
                <c:pt idx="2">
                  <c:v>40</c:v>
                </c:pt>
                <c:pt idx="3">
                  <c:v>51</c:v>
                </c:pt>
                <c:pt idx="4">
                  <c:v>50</c:v>
                </c:pt>
                <c:pt idx="5">
                  <c:v>49</c:v>
                </c:pt>
                <c:pt idx="6">
                  <c:v>44</c:v>
                </c:pt>
                <c:pt idx="7">
                  <c:v>49</c:v>
                </c:pt>
                <c:pt idx="8">
                  <c:v>78</c:v>
                </c:pt>
                <c:pt idx="9">
                  <c:v>79</c:v>
                </c:pt>
                <c:pt idx="10">
                  <c:v>59</c:v>
                </c:pt>
                <c:pt idx="11">
                  <c:v>58</c:v>
                </c:pt>
                <c:pt idx="12">
                  <c:v>33</c:v>
                </c:pt>
                <c:pt idx="13">
                  <c:v>66</c:v>
                </c:pt>
                <c:pt idx="14">
                  <c:v>51</c:v>
                </c:pt>
                <c:pt idx="15">
                  <c:v>80</c:v>
                </c:pt>
                <c:pt idx="16">
                  <c:v>23</c:v>
                </c:pt>
                <c:pt idx="17">
                  <c:v>39</c:v>
                </c:pt>
                <c:pt idx="18">
                  <c:v>60</c:v>
                </c:pt>
                <c:pt idx="19">
                  <c:v>32</c:v>
                </c:pt>
                <c:pt idx="20">
                  <c:v>54</c:v>
                </c:pt>
                <c:pt idx="21">
                  <c:v>23</c:v>
                </c:pt>
                <c:pt idx="22">
                  <c:v>50</c:v>
                </c:pt>
                <c:pt idx="23">
                  <c:v>60</c:v>
                </c:pt>
                <c:pt idx="24">
                  <c:v>73</c:v>
                </c:pt>
                <c:pt idx="25">
                  <c:v>21</c:v>
                </c:pt>
                <c:pt idx="26">
                  <c:v>21</c:v>
                </c:pt>
                <c:pt idx="27">
                  <c:v>35</c:v>
                </c:pt>
                <c:pt idx="28">
                  <c:v>77</c:v>
                </c:pt>
                <c:pt idx="29">
                  <c:v>32</c:v>
                </c:pt>
                <c:pt idx="30">
                  <c:v>44</c:v>
                </c:pt>
                <c:pt idx="31">
                  <c:v>23</c:v>
                </c:pt>
                <c:pt idx="32">
                  <c:v>37</c:v>
                </c:pt>
                <c:pt idx="33">
                  <c:v>36</c:v>
                </c:pt>
                <c:pt idx="34">
                  <c:v>51</c:v>
                </c:pt>
                <c:pt idx="35">
                  <c:v>59</c:v>
                </c:pt>
                <c:pt idx="36">
                  <c:v>65</c:v>
                </c:pt>
                <c:pt idx="37">
                  <c:v>66</c:v>
                </c:pt>
                <c:pt idx="38">
                  <c:v>55</c:v>
                </c:pt>
                <c:pt idx="39">
                  <c:v>59</c:v>
                </c:pt>
                <c:pt idx="40">
                  <c:v>77</c:v>
                </c:pt>
                <c:pt idx="41">
                  <c:v>62</c:v>
                </c:pt>
                <c:pt idx="42">
                  <c:v>69</c:v>
                </c:pt>
                <c:pt idx="43">
                  <c:v>62</c:v>
                </c:pt>
                <c:pt idx="44">
                  <c:v>60</c:v>
                </c:pt>
                <c:pt idx="45">
                  <c:v>78</c:v>
                </c:pt>
                <c:pt idx="46">
                  <c:v>76</c:v>
                </c:pt>
                <c:pt idx="47">
                  <c:v>63</c:v>
                </c:pt>
                <c:pt idx="48">
                  <c:v>57</c:v>
                </c:pt>
                <c:pt idx="49">
                  <c:v>65</c:v>
                </c:pt>
                <c:pt idx="50">
                  <c:v>24</c:v>
                </c:pt>
                <c:pt idx="51">
                  <c:v>27</c:v>
                </c:pt>
                <c:pt idx="52">
                  <c:v>62</c:v>
                </c:pt>
                <c:pt idx="53">
                  <c:v>74</c:v>
                </c:pt>
                <c:pt idx="54">
                  <c:v>51</c:v>
                </c:pt>
                <c:pt idx="55">
                  <c:v>33</c:v>
                </c:pt>
                <c:pt idx="56">
                  <c:v>55</c:v>
                </c:pt>
                <c:pt idx="57">
                  <c:v>64</c:v>
                </c:pt>
                <c:pt idx="58">
                  <c:v>22</c:v>
                </c:pt>
                <c:pt idx="59">
                  <c:v>45</c:v>
                </c:pt>
                <c:pt idx="60">
                  <c:v>49</c:v>
                </c:pt>
                <c:pt idx="61">
                  <c:v>69</c:v>
                </c:pt>
              </c:numCache>
            </c:numRef>
          </c:yVal>
          <c:smooth val="0"/>
          <c:extLst>
            <c:ext xmlns:c16="http://schemas.microsoft.com/office/drawing/2014/chart" uri="{C3380CC4-5D6E-409C-BE32-E72D297353CC}">
              <c16:uniqueId val="{00000000-F864-4489-A867-1543D6986772}"/>
            </c:ext>
          </c:extLst>
        </c:ser>
        <c:dLbls>
          <c:showLegendKey val="0"/>
          <c:showVal val="0"/>
          <c:showCatName val="0"/>
          <c:showSerName val="0"/>
          <c:showPercent val="0"/>
          <c:showBubbleSize val="0"/>
        </c:dLbls>
        <c:axId val="479826384"/>
        <c:axId val="479826864"/>
      </c:scatterChart>
      <c:valAx>
        <c:axId val="479826384"/>
        <c:scaling>
          <c:orientation val="minMax"/>
          <c:min val="2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it-IT"/>
                  <a:t>Età del partner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t-IT"/>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t-IT"/>
          </a:p>
        </c:txPr>
        <c:crossAx val="479826864"/>
        <c:crosses val="autoZero"/>
        <c:crossBetween val="midCat"/>
      </c:valAx>
      <c:valAx>
        <c:axId val="479826864"/>
        <c:scaling>
          <c:orientation val="minMax"/>
          <c:max val="89"/>
          <c:min val="19"/>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it-IT"/>
                  <a:t>Età del campione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it-IT"/>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t-IT"/>
          </a:p>
        </c:txPr>
        <c:crossAx val="4798263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Età</a:t>
            </a:r>
            <a:r>
              <a:rPr lang="it-IT" baseline="0"/>
              <a:t> popolazione - rank </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tx>
            <c:strRef>
              <c:f>'Linear Regression'!$B$1</c:f>
              <c:strCache>
                <c:ptCount val="1"/>
                <c:pt idx="0">
                  <c:v>X (rank)</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62330730533683287"/>
                  <c:y val="0.53241178186060079"/>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0,2345x + 115,19</a:t>
                    </a:r>
                    <a:br>
                      <a:rPr lang="en-US" b="1" baseline="0"/>
                    </a:br>
                    <a:r>
                      <a:rPr lang="en-US" b="1" baseline="0"/>
                      <a:t>R² = 0,0012</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rendlineLbl>
          </c:trendline>
          <c:xVal>
            <c:numRef>
              <c:f>'Linear Regression'!$A$2:$A$251</c:f>
              <c:numCache>
                <c:formatCode>0</c:formatCode>
                <c:ptCount val="250"/>
                <c:pt idx="0">
                  <c:v>74.058080290343867</c:v>
                </c:pt>
                <c:pt idx="1">
                  <c:v>45.855600005028116</c:v>
                </c:pt>
                <c:pt idx="2">
                  <c:v>34.523502807390379</c:v>
                </c:pt>
                <c:pt idx="3">
                  <c:v>52.515911656356124</c:v>
                </c:pt>
                <c:pt idx="4">
                  <c:v>40.413290269624369</c:v>
                </c:pt>
                <c:pt idx="5">
                  <c:v>43.144038245030259</c:v>
                </c:pt>
                <c:pt idx="6">
                  <c:v>41.653946284381831</c:v>
                </c:pt>
                <c:pt idx="7">
                  <c:v>30.734545292686633</c:v>
                </c:pt>
                <c:pt idx="8">
                  <c:v>35.699452365744769</c:v>
                </c:pt>
                <c:pt idx="9">
                  <c:v>62.257854329434409</c:v>
                </c:pt>
                <c:pt idx="10">
                  <c:v>49.096229773273095</c:v>
                </c:pt>
                <c:pt idx="11">
                  <c:v>29.089783606612798</c:v>
                </c:pt>
                <c:pt idx="12">
                  <c:v>36.060628133426519</c:v>
                </c:pt>
                <c:pt idx="13">
                  <c:v>41.264322093905861</c:v>
                </c:pt>
                <c:pt idx="14">
                  <c:v>45.299759464632615</c:v>
                </c:pt>
                <c:pt idx="15">
                  <c:v>49.479909004156909</c:v>
                </c:pt>
                <c:pt idx="16">
                  <c:v>55.229357158685289</c:v>
                </c:pt>
                <c:pt idx="17">
                  <c:v>38.535486337946118</c:v>
                </c:pt>
                <c:pt idx="18">
                  <c:v>47.419484673348954</c:v>
                </c:pt>
                <c:pt idx="19">
                  <c:v>45.633559721766382</c:v>
                </c:pt>
                <c:pt idx="20">
                  <c:v>47.253946575032806</c:v>
                </c:pt>
                <c:pt idx="21">
                  <c:v>49.015228626731385</c:v>
                </c:pt>
                <c:pt idx="22">
                  <c:v>57.955751199188853</c:v>
                </c:pt>
                <c:pt idx="23">
                  <c:v>29.42739551308506</c:v>
                </c:pt>
                <c:pt idx="24">
                  <c:v>44.539427805401246</c:v>
                </c:pt>
                <c:pt idx="25">
                  <c:v>43.208011954160561</c:v>
                </c:pt>
                <c:pt idx="26">
                  <c:v>34.023788464046049</c:v>
                </c:pt>
                <c:pt idx="27">
                  <c:v>15.732944733991832</c:v>
                </c:pt>
                <c:pt idx="28">
                  <c:v>38.322041337350541</c:v>
                </c:pt>
                <c:pt idx="29">
                  <c:v>38.585831865598969</c:v>
                </c:pt>
                <c:pt idx="30">
                  <c:v>46.400955943840358</c:v>
                </c:pt>
                <c:pt idx="31">
                  <c:v>42.745532833425351</c:v>
                </c:pt>
                <c:pt idx="32">
                  <c:v>47.259858856446407</c:v>
                </c:pt>
                <c:pt idx="33">
                  <c:v>26.783504447135488</c:v>
                </c:pt>
                <c:pt idx="34">
                  <c:v>54.932002867977161</c:v>
                </c:pt>
                <c:pt idx="35">
                  <c:v>29.313344490933702</c:v>
                </c:pt>
                <c:pt idx="36">
                  <c:v>38.298057013364549</c:v>
                </c:pt>
                <c:pt idx="37">
                  <c:v>33.39812826578877</c:v>
                </c:pt>
                <c:pt idx="38">
                  <c:v>38.7555728034501</c:v>
                </c:pt>
                <c:pt idx="39">
                  <c:v>35.941088039467978</c:v>
                </c:pt>
                <c:pt idx="40">
                  <c:v>41.45297480652733</c:v>
                </c:pt>
                <c:pt idx="41">
                  <c:v>41.609207673439123</c:v>
                </c:pt>
                <c:pt idx="42">
                  <c:v>56.969019568229214</c:v>
                </c:pt>
                <c:pt idx="43">
                  <c:v>45.358943540650955</c:v>
                </c:pt>
                <c:pt idx="44">
                  <c:v>50.632620297160514</c:v>
                </c:pt>
                <c:pt idx="45">
                  <c:v>31.422227409123785</c:v>
                </c:pt>
                <c:pt idx="46">
                  <c:v>50.919600813193775</c:v>
                </c:pt>
                <c:pt idx="47">
                  <c:v>34.350794416318848</c:v>
                </c:pt>
                <c:pt idx="48">
                  <c:v>61.623498775860753</c:v>
                </c:pt>
                <c:pt idx="49">
                  <c:v>46.91704461010734</c:v>
                </c:pt>
                <c:pt idx="50">
                  <c:v>44.498217430330328</c:v>
                </c:pt>
                <c:pt idx="51">
                  <c:v>36.564925735469046</c:v>
                </c:pt>
                <c:pt idx="52">
                  <c:v>31.599095886836952</c:v>
                </c:pt>
                <c:pt idx="53">
                  <c:v>14.141183699400901</c:v>
                </c:pt>
                <c:pt idx="54">
                  <c:v>30.262426460063544</c:v>
                </c:pt>
                <c:pt idx="55">
                  <c:v>46.13384759254685</c:v>
                </c:pt>
                <c:pt idx="56">
                  <c:v>34.396373640534406</c:v>
                </c:pt>
                <c:pt idx="57">
                  <c:v>55.631031157596432</c:v>
                </c:pt>
                <c:pt idx="58">
                  <c:v>48.337255076394158</c:v>
                </c:pt>
                <c:pt idx="59">
                  <c:v>44.758018171337334</c:v>
                </c:pt>
                <c:pt idx="60">
                  <c:v>47.075945959678648</c:v>
                </c:pt>
                <c:pt idx="61">
                  <c:v>14.907961146111912</c:v>
                </c:pt>
                <c:pt idx="62">
                  <c:v>55.775016580361566</c:v>
                </c:pt>
                <c:pt idx="63">
                  <c:v>43.945589355818704</c:v>
                </c:pt>
                <c:pt idx="64">
                  <c:v>27.92490461327613</c:v>
                </c:pt>
                <c:pt idx="65">
                  <c:v>29.776864623830299</c:v>
                </c:pt>
                <c:pt idx="66">
                  <c:v>41.603346332061605</c:v>
                </c:pt>
                <c:pt idx="67">
                  <c:v>66.342004141765216</c:v>
                </c:pt>
                <c:pt idx="68">
                  <c:v>39.81654616922355</c:v>
                </c:pt>
                <c:pt idx="69">
                  <c:v>47.539830032614702</c:v>
                </c:pt>
                <c:pt idx="70">
                  <c:v>58.843201828261954</c:v>
                </c:pt>
                <c:pt idx="71">
                  <c:v>41.755300372804022</c:v>
                </c:pt>
                <c:pt idx="72">
                  <c:v>45.938078700596044</c:v>
                </c:pt>
                <c:pt idx="73">
                  <c:v>46.163168773755615</c:v>
                </c:pt>
                <c:pt idx="74">
                  <c:v>33.483962352147778</c:v>
                </c:pt>
                <c:pt idx="75">
                  <c:v>47.7028570145904</c:v>
                </c:pt>
                <c:pt idx="76">
                  <c:v>43.655045755970136</c:v>
                </c:pt>
                <c:pt idx="77">
                  <c:v>38.459784385244852</c:v>
                </c:pt>
                <c:pt idx="78">
                  <c:v>46.136788585204464</c:v>
                </c:pt>
                <c:pt idx="79">
                  <c:v>57.167625279304289</c:v>
                </c:pt>
                <c:pt idx="80">
                  <c:v>45.603923047657197</c:v>
                </c:pt>
                <c:pt idx="81">
                  <c:v>51.152828613762608</c:v>
                </c:pt>
                <c:pt idx="82">
                  <c:v>45.807149417815964</c:v>
                </c:pt>
                <c:pt idx="83">
                  <c:v>56.233199664773423</c:v>
                </c:pt>
                <c:pt idx="84">
                  <c:v>49.950731790454952</c:v>
                </c:pt>
                <c:pt idx="85">
                  <c:v>27.58963098667888</c:v>
                </c:pt>
                <c:pt idx="86">
                  <c:v>30.09610773717711</c:v>
                </c:pt>
                <c:pt idx="87">
                  <c:v>47.466336478172479</c:v>
                </c:pt>
                <c:pt idx="88">
                  <c:v>54.417109697371473</c:v>
                </c:pt>
                <c:pt idx="89">
                  <c:v>40.17081031181813</c:v>
                </c:pt>
                <c:pt idx="90">
                  <c:v>43.03187594024115</c:v>
                </c:pt>
                <c:pt idx="91">
                  <c:v>58.511705183655344</c:v>
                </c:pt>
                <c:pt idx="92">
                  <c:v>51.434196156658516</c:v>
                </c:pt>
                <c:pt idx="93">
                  <c:v>22.795715125199802</c:v>
                </c:pt>
                <c:pt idx="94">
                  <c:v>51.322420948643284</c:v>
                </c:pt>
                <c:pt idx="95">
                  <c:v>57.78742516011954</c:v>
                </c:pt>
                <c:pt idx="96">
                  <c:v>47.065535987975778</c:v>
                </c:pt>
                <c:pt idx="97">
                  <c:v>39.383543215057784</c:v>
                </c:pt>
                <c:pt idx="98">
                  <c:v>38.913860242410195</c:v>
                </c:pt>
                <c:pt idx="99">
                  <c:v>42.784485159089797</c:v>
                </c:pt>
                <c:pt idx="100">
                  <c:v>40.27514638035062</c:v>
                </c:pt>
                <c:pt idx="101">
                  <c:v>31.913511535353514</c:v>
                </c:pt>
                <c:pt idx="102">
                  <c:v>64.919722738413611</c:v>
                </c:pt>
                <c:pt idx="103">
                  <c:v>55.270074178525491</c:v>
                </c:pt>
                <c:pt idx="104">
                  <c:v>46.295952087315186</c:v>
                </c:pt>
                <c:pt idx="105">
                  <c:v>52.951138315682144</c:v>
                </c:pt>
                <c:pt idx="106">
                  <c:v>33.570986580570285</c:v>
                </c:pt>
                <c:pt idx="107">
                  <c:v>44.22112647476191</c:v>
                </c:pt>
                <c:pt idx="108">
                  <c:v>34.448818303521378</c:v>
                </c:pt>
                <c:pt idx="109">
                  <c:v>24.251851405354174</c:v>
                </c:pt>
                <c:pt idx="110">
                  <c:v>48.114629308608926</c:v>
                </c:pt>
                <c:pt idx="111">
                  <c:v>41.358007175647742</c:v>
                </c:pt>
                <c:pt idx="112">
                  <c:v>60.757546868148339</c:v>
                </c:pt>
                <c:pt idx="113">
                  <c:v>54.959685234606127</c:v>
                </c:pt>
                <c:pt idx="114">
                  <c:v>53.901288728179637</c:v>
                </c:pt>
                <c:pt idx="115">
                  <c:v>49.721303256588676</c:v>
                </c:pt>
                <c:pt idx="116">
                  <c:v>41.96689139564964</c:v>
                </c:pt>
                <c:pt idx="117">
                  <c:v>31.922253823733683</c:v>
                </c:pt>
                <c:pt idx="118">
                  <c:v>21.882754068971629</c:v>
                </c:pt>
                <c:pt idx="119">
                  <c:v>60.287773694989014</c:v>
                </c:pt>
                <c:pt idx="120">
                  <c:v>36.799027588552072</c:v>
                </c:pt>
                <c:pt idx="121">
                  <c:v>56.683162550963246</c:v>
                </c:pt>
                <c:pt idx="122">
                  <c:v>54.072159058144315</c:v>
                </c:pt>
                <c:pt idx="123">
                  <c:v>51.637578356371328</c:v>
                </c:pt>
                <c:pt idx="124">
                  <c:v>49.841378701344617</c:v>
                </c:pt>
                <c:pt idx="125">
                  <c:v>41.497723800858786</c:v>
                </c:pt>
                <c:pt idx="126">
                  <c:v>56.262601965854145</c:v>
                </c:pt>
                <c:pt idx="127">
                  <c:v>63.230234035411172</c:v>
                </c:pt>
                <c:pt idx="128">
                  <c:v>62.487248638143967</c:v>
                </c:pt>
                <c:pt idx="129">
                  <c:v>36.634307818632081</c:v>
                </c:pt>
                <c:pt idx="130">
                  <c:v>52.721429806411571</c:v>
                </c:pt>
                <c:pt idx="131">
                  <c:v>35.433764587968938</c:v>
                </c:pt>
                <c:pt idx="132">
                  <c:v>58.315436141465504</c:v>
                </c:pt>
                <c:pt idx="133">
                  <c:v>53.211086232033729</c:v>
                </c:pt>
                <c:pt idx="134">
                  <c:v>48.239722186811051</c:v>
                </c:pt>
                <c:pt idx="135">
                  <c:v>26.540656226335901</c:v>
                </c:pt>
                <c:pt idx="136">
                  <c:v>57.052437952296813</c:v>
                </c:pt>
                <c:pt idx="137">
                  <c:v>45.58286487284655</c:v>
                </c:pt>
                <c:pt idx="138">
                  <c:v>32.479959571800464</c:v>
                </c:pt>
                <c:pt idx="139">
                  <c:v>32.570094189856079</c:v>
                </c:pt>
                <c:pt idx="140">
                  <c:v>62.634354224068289</c:v>
                </c:pt>
                <c:pt idx="141">
                  <c:v>44.839130402658292</c:v>
                </c:pt>
                <c:pt idx="142">
                  <c:v>43.145385849222947</c:v>
                </c:pt>
                <c:pt idx="143">
                  <c:v>28.896512443312805</c:v>
                </c:pt>
                <c:pt idx="144">
                  <c:v>52.749722704023533</c:v>
                </c:pt>
                <c:pt idx="145">
                  <c:v>33.767943593027681</c:v>
                </c:pt>
                <c:pt idx="146">
                  <c:v>61.726180820007279</c:v>
                </c:pt>
                <c:pt idx="147">
                  <c:v>39.669474859587694</c:v>
                </c:pt>
                <c:pt idx="148">
                  <c:v>41.149067972700578</c:v>
                </c:pt>
                <c:pt idx="149">
                  <c:v>32.287936904557995</c:v>
                </c:pt>
                <c:pt idx="150">
                  <c:v>57.578611132564163</c:v>
                </c:pt>
                <c:pt idx="151">
                  <c:v>46.802318015155699</c:v>
                </c:pt>
                <c:pt idx="152">
                  <c:v>62.205869581996296</c:v>
                </c:pt>
                <c:pt idx="153">
                  <c:v>45.871964911570181</c:v>
                </c:pt>
                <c:pt idx="154">
                  <c:v>33.476050286264126</c:v>
                </c:pt>
                <c:pt idx="155">
                  <c:v>24.492427550082564</c:v>
                </c:pt>
                <c:pt idx="156">
                  <c:v>25.083310867852131</c:v>
                </c:pt>
                <c:pt idx="157">
                  <c:v>48.797394941123279</c:v>
                </c:pt>
                <c:pt idx="158">
                  <c:v>39.595588327258646</c:v>
                </c:pt>
                <c:pt idx="159">
                  <c:v>58.842458725483553</c:v>
                </c:pt>
                <c:pt idx="160">
                  <c:v>43.937496429837502</c:v>
                </c:pt>
                <c:pt idx="161">
                  <c:v>44.128607780461948</c:v>
                </c:pt>
                <c:pt idx="162">
                  <c:v>50.257546388713422</c:v>
                </c:pt>
                <c:pt idx="163">
                  <c:v>47.636802888923917</c:v>
                </c:pt>
                <c:pt idx="164">
                  <c:v>44.240481805739734</c:v>
                </c:pt>
                <c:pt idx="165">
                  <c:v>41.359617790489111</c:v>
                </c:pt>
                <c:pt idx="166">
                  <c:v>39.106297400503614</c:v>
                </c:pt>
                <c:pt idx="167">
                  <c:v>46.115050001151062</c:v>
                </c:pt>
                <c:pt idx="168">
                  <c:v>50.428702154282639</c:v>
                </c:pt>
                <c:pt idx="169">
                  <c:v>35.77776962991193</c:v>
                </c:pt>
                <c:pt idx="170">
                  <c:v>46.637106502075056</c:v>
                </c:pt>
                <c:pt idx="171">
                  <c:v>38.204630048851712</c:v>
                </c:pt>
                <c:pt idx="172">
                  <c:v>42.029769626420205</c:v>
                </c:pt>
                <c:pt idx="173">
                  <c:v>61.186051635638165</c:v>
                </c:pt>
                <c:pt idx="174">
                  <c:v>32.044498584824041</c:v>
                </c:pt>
                <c:pt idx="175">
                  <c:v>30.511735823257666</c:v>
                </c:pt>
                <c:pt idx="176">
                  <c:v>45.987805051651492</c:v>
                </c:pt>
                <c:pt idx="177">
                  <c:v>34.381873505594442</c:v>
                </c:pt>
                <c:pt idx="178">
                  <c:v>46.641857331702994</c:v>
                </c:pt>
                <c:pt idx="179">
                  <c:v>38.937317822571153</c:v>
                </c:pt>
                <c:pt idx="180">
                  <c:v>61.335589905175439</c:v>
                </c:pt>
                <c:pt idx="181">
                  <c:v>49.771515570277323</c:v>
                </c:pt>
                <c:pt idx="182">
                  <c:v>43.142067918146367</c:v>
                </c:pt>
                <c:pt idx="183">
                  <c:v>48.164289303580041</c:v>
                </c:pt>
                <c:pt idx="184">
                  <c:v>69.024282132772981</c:v>
                </c:pt>
                <c:pt idx="185">
                  <c:v>35.761167421870091</c:v>
                </c:pt>
                <c:pt idx="186">
                  <c:v>51.676333683322525</c:v>
                </c:pt>
                <c:pt idx="187">
                  <c:v>27.929672073696835</c:v>
                </c:pt>
                <c:pt idx="188">
                  <c:v>56.093983704672389</c:v>
                </c:pt>
                <c:pt idx="189">
                  <c:v>36.383428915193484</c:v>
                </c:pt>
                <c:pt idx="190">
                  <c:v>43.884441728519235</c:v>
                </c:pt>
                <c:pt idx="191">
                  <c:v>41.230819586416104</c:v>
                </c:pt>
                <c:pt idx="192">
                  <c:v>37.819278807466084</c:v>
                </c:pt>
                <c:pt idx="193">
                  <c:v>15.585516185555754</c:v>
                </c:pt>
                <c:pt idx="194">
                  <c:v>57.540996541415907</c:v>
                </c:pt>
                <c:pt idx="195">
                  <c:v>45.946939952174993</c:v>
                </c:pt>
                <c:pt idx="196">
                  <c:v>46.833307857838669</c:v>
                </c:pt>
                <c:pt idx="197">
                  <c:v>38.074518576395448</c:v>
                </c:pt>
                <c:pt idx="198">
                  <c:v>50.689314516525869</c:v>
                </c:pt>
                <c:pt idx="199">
                  <c:v>34.987226948565329</c:v>
                </c:pt>
                <c:pt idx="200">
                  <c:v>38.656471298942058</c:v>
                </c:pt>
                <c:pt idx="201">
                  <c:v>32.39613821999226</c:v>
                </c:pt>
                <c:pt idx="202">
                  <c:v>29.541197120717968</c:v>
                </c:pt>
                <c:pt idx="203">
                  <c:v>51.804981973375128</c:v>
                </c:pt>
                <c:pt idx="204">
                  <c:v>35.355001594779125</c:v>
                </c:pt>
                <c:pt idx="205">
                  <c:v>52.039011693471423</c:v>
                </c:pt>
                <c:pt idx="206">
                  <c:v>55.038852776167658</c:v>
                </c:pt>
                <c:pt idx="207">
                  <c:v>46.08080099460593</c:v>
                </c:pt>
                <c:pt idx="208">
                  <c:v>52.678529567657577</c:v>
                </c:pt>
                <c:pt idx="209">
                  <c:v>62.973766981390817</c:v>
                </c:pt>
                <c:pt idx="210">
                  <c:v>43.014140119444306</c:v>
                </c:pt>
                <c:pt idx="211">
                  <c:v>37.933252237409327</c:v>
                </c:pt>
                <c:pt idx="212">
                  <c:v>30.104299691620383</c:v>
                </c:pt>
                <c:pt idx="213">
                  <c:v>63.243779864320103</c:v>
                </c:pt>
                <c:pt idx="214">
                  <c:v>48.977923974990574</c:v>
                </c:pt>
                <c:pt idx="215">
                  <c:v>38.921580365748355</c:v>
                </c:pt>
                <c:pt idx="216">
                  <c:v>52.977435389664848</c:v>
                </c:pt>
                <c:pt idx="217">
                  <c:v>42.982105016259759</c:v>
                </c:pt>
                <c:pt idx="218">
                  <c:v>42.341118347900661</c:v>
                </c:pt>
                <c:pt idx="219">
                  <c:v>45.30496917157258</c:v>
                </c:pt>
                <c:pt idx="220">
                  <c:v>30.31469568046424</c:v>
                </c:pt>
                <c:pt idx="221">
                  <c:v>55.041770270536176</c:v>
                </c:pt>
                <c:pt idx="222">
                  <c:v>50.464453162353827</c:v>
                </c:pt>
                <c:pt idx="223">
                  <c:v>25.119860153380209</c:v>
                </c:pt>
                <c:pt idx="224">
                  <c:v>31.9166175929536</c:v>
                </c:pt>
                <c:pt idx="225">
                  <c:v>51.227711662954917</c:v>
                </c:pt>
                <c:pt idx="226">
                  <c:v>47.961934192456617</c:v>
                </c:pt>
                <c:pt idx="227">
                  <c:v>44.841013550478422</c:v>
                </c:pt>
                <c:pt idx="228">
                  <c:v>50.724654184845072</c:v>
                </c:pt>
                <c:pt idx="229">
                  <c:v>53.918781123273078</c:v>
                </c:pt>
                <c:pt idx="230">
                  <c:v>26.821947460090666</c:v>
                </c:pt>
                <c:pt idx="231">
                  <c:v>47.770490232046669</c:v>
                </c:pt>
                <c:pt idx="232">
                  <c:v>46.541696178252757</c:v>
                </c:pt>
                <c:pt idx="233">
                  <c:v>33.952990635075004</c:v>
                </c:pt>
                <c:pt idx="234">
                  <c:v>53.807220529591746</c:v>
                </c:pt>
                <c:pt idx="235">
                  <c:v>54.893907637187425</c:v>
                </c:pt>
                <c:pt idx="236">
                  <c:v>40.691717562173388</c:v>
                </c:pt>
                <c:pt idx="237">
                  <c:v>44.558848655838261</c:v>
                </c:pt>
                <c:pt idx="238">
                  <c:v>33.795463555870263</c:v>
                </c:pt>
                <c:pt idx="239">
                  <c:v>43.875253645846797</c:v>
                </c:pt>
                <c:pt idx="240">
                  <c:v>40.91545662786514</c:v>
                </c:pt>
                <c:pt idx="241">
                  <c:v>46.89853761299856</c:v>
                </c:pt>
                <c:pt idx="242">
                  <c:v>28.209204177086111</c:v>
                </c:pt>
                <c:pt idx="243">
                  <c:v>50.700413753268073</c:v>
                </c:pt>
                <c:pt idx="244">
                  <c:v>42.917618706694725</c:v>
                </c:pt>
                <c:pt idx="245">
                  <c:v>67.507229752913616</c:v>
                </c:pt>
                <c:pt idx="246">
                  <c:v>28.345466995209165</c:v>
                </c:pt>
                <c:pt idx="247">
                  <c:v>45.341733869162809</c:v>
                </c:pt>
                <c:pt idx="248">
                  <c:v>47.054908588043027</c:v>
                </c:pt>
                <c:pt idx="249">
                  <c:v>33.804908221881291</c:v>
                </c:pt>
              </c:numCache>
            </c:numRef>
          </c:xVal>
          <c:yVal>
            <c:numRef>
              <c:f>'Linear Regression'!$B$2:$B$251</c:f>
              <c:numCache>
                <c:formatCode>0</c:formatCode>
                <c:ptCount val="2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numCache>
            </c:numRef>
          </c:yVal>
          <c:smooth val="0"/>
          <c:extLst>
            <c:ext xmlns:c16="http://schemas.microsoft.com/office/drawing/2014/chart" uri="{C3380CC4-5D6E-409C-BE32-E72D297353CC}">
              <c16:uniqueId val="{00000000-429B-41D0-8B7F-7B5FDDF5DCAC}"/>
            </c:ext>
          </c:extLst>
        </c:ser>
        <c:dLbls>
          <c:showLegendKey val="0"/>
          <c:showVal val="0"/>
          <c:showCatName val="0"/>
          <c:showSerName val="0"/>
          <c:showPercent val="0"/>
          <c:showBubbleSize val="0"/>
        </c:dLbls>
        <c:axId val="1408666207"/>
        <c:axId val="1468388863"/>
      </c:scatterChart>
      <c:valAx>
        <c:axId val="1408666207"/>
        <c:scaling>
          <c:orientation val="minMax"/>
          <c:min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Rank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68388863"/>
        <c:crosses val="autoZero"/>
        <c:crossBetween val="midCat"/>
      </c:valAx>
      <c:valAx>
        <c:axId val="1468388863"/>
        <c:scaling>
          <c:orientation val="minMax"/>
          <c:max val="2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086662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533400</xdr:colOff>
      <xdr:row>1</xdr:row>
      <xdr:rowOff>41910</xdr:rowOff>
    </xdr:from>
    <xdr:to>
      <xdr:col>13</xdr:col>
      <xdr:colOff>243840</xdr:colOff>
      <xdr:row>19</xdr:row>
      <xdr:rowOff>0</xdr:rowOff>
    </xdr:to>
    <xdr:graphicFrame macro="">
      <xdr:nvGraphicFramePr>
        <xdr:cNvPr id="2" name="Grafico 1">
          <a:extLst>
            <a:ext uri="{FF2B5EF4-FFF2-40B4-BE49-F238E27FC236}">
              <a16:creationId xmlns:a16="http://schemas.microsoft.com/office/drawing/2014/main" id="{EC4F1183-546B-B54F-2DF3-A77614D8D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179070</xdr:rowOff>
    </xdr:from>
    <xdr:to>
      <xdr:col>13</xdr:col>
      <xdr:colOff>289560</xdr:colOff>
      <xdr:row>39</xdr:row>
      <xdr:rowOff>144780</xdr:rowOff>
    </xdr:to>
    <xdr:graphicFrame macro="">
      <xdr:nvGraphicFramePr>
        <xdr:cNvPr id="3" name="Grafico 2">
          <a:extLst>
            <a:ext uri="{FF2B5EF4-FFF2-40B4-BE49-F238E27FC236}">
              <a16:creationId xmlns:a16="http://schemas.microsoft.com/office/drawing/2014/main" id="{DB5CA11F-DC58-927B-C057-BC71E4E24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3</xdr:row>
      <xdr:rowOff>80010</xdr:rowOff>
    </xdr:from>
    <xdr:to>
      <xdr:col>9</xdr:col>
      <xdr:colOff>335280</xdr:colOff>
      <xdr:row>18</xdr:row>
      <xdr:rowOff>80010</xdr:rowOff>
    </xdr:to>
    <xdr:graphicFrame macro="">
      <xdr:nvGraphicFramePr>
        <xdr:cNvPr id="4" name="Grafico 3">
          <a:extLst>
            <a:ext uri="{FF2B5EF4-FFF2-40B4-BE49-F238E27FC236}">
              <a16:creationId xmlns:a16="http://schemas.microsoft.com/office/drawing/2014/main" id="{EC71E03A-6D80-2253-B77E-B4E6625B1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818E-1338-4558-B63D-68A1B1BBD61F}">
  <dimension ref="A1:C2"/>
  <sheetViews>
    <sheetView showGridLines="0" zoomScaleNormal="100" workbookViewId="0">
      <selection activeCell="A2" sqref="A2"/>
    </sheetView>
  </sheetViews>
  <sheetFormatPr defaultRowHeight="14.4" x14ac:dyDescent="0.3"/>
  <cols>
    <col min="1" max="1" width="12.109375" bestFit="1" customWidth="1"/>
    <col min="2" max="2" width="6.44140625" bestFit="1" customWidth="1"/>
    <col min="3" max="3" width="8.6640625" bestFit="1" customWidth="1"/>
  </cols>
  <sheetData>
    <row r="1" spans="1:3" ht="19.8" thickTop="1" thickBot="1" x14ac:dyDescent="0.5">
      <c r="A1" s="1" t="s">
        <v>0</v>
      </c>
      <c r="B1" s="1" t="s">
        <v>1</v>
      </c>
      <c r="C1" s="1" t="s">
        <v>2</v>
      </c>
    </row>
    <row r="2" spans="1:3" ht="15" thickTop="1" x14ac:dyDescent="0.3">
      <c r="A2" s="2">
        <v>0.92230872002763586</v>
      </c>
      <c r="B2" s="2">
        <v>45</v>
      </c>
      <c r="C2" s="2">
        <v>11.23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8A14-108E-4D9D-8E76-B2F7B3766C3E}">
  <dimension ref="A1:D251"/>
  <sheetViews>
    <sheetView showGridLines="0" workbookViewId="0">
      <selection activeCell="A4" sqref="A4"/>
    </sheetView>
  </sheetViews>
  <sheetFormatPr defaultRowHeight="14.4" x14ac:dyDescent="0.3"/>
  <cols>
    <col min="1" max="1" width="4.33203125" bestFit="1" customWidth="1"/>
    <col min="2" max="2" width="8.44140625" bestFit="1" customWidth="1"/>
  </cols>
  <sheetData>
    <row r="1" spans="1:2" ht="19.8" thickTop="1" thickBot="1" x14ac:dyDescent="0.5">
      <c r="A1" s="5" t="s">
        <v>3</v>
      </c>
      <c r="B1" s="1" t="s">
        <v>4</v>
      </c>
    </row>
    <row r="2" spans="1:2" ht="15" thickTop="1" x14ac:dyDescent="0.3">
      <c r="A2" s="3">
        <v>74.058080290343895</v>
      </c>
      <c r="B2" s="4">
        <v>1</v>
      </c>
    </row>
    <row r="3" spans="1:2" x14ac:dyDescent="0.3">
      <c r="A3" s="3">
        <v>45.855600005028116</v>
      </c>
      <c r="B3" s="4">
        <v>4</v>
      </c>
    </row>
    <row r="4" spans="1:2" x14ac:dyDescent="0.3">
      <c r="A4" s="3">
        <v>34.523502807390379</v>
      </c>
      <c r="B4" s="4">
        <v>2</v>
      </c>
    </row>
    <row r="5" spans="1:2" x14ac:dyDescent="0.3">
      <c r="A5" s="3">
        <v>52.515911656356124</v>
      </c>
      <c r="B5" s="4">
        <v>4</v>
      </c>
    </row>
    <row r="6" spans="1:2" x14ac:dyDescent="0.3">
      <c r="A6" s="3">
        <v>40.413290269624369</v>
      </c>
      <c r="B6" s="4">
        <v>4</v>
      </c>
    </row>
    <row r="7" spans="1:2" x14ac:dyDescent="0.3">
      <c r="A7" s="3">
        <v>43.144038245030259</v>
      </c>
      <c r="B7" s="4">
        <v>3</v>
      </c>
    </row>
    <row r="8" spans="1:2" x14ac:dyDescent="0.3">
      <c r="A8" s="3">
        <v>41.653946284381831</v>
      </c>
      <c r="B8" s="4">
        <v>2</v>
      </c>
    </row>
    <row r="9" spans="1:2" x14ac:dyDescent="0.3">
      <c r="A9" s="3">
        <v>30.734545292686633</v>
      </c>
      <c r="B9" s="4">
        <v>3</v>
      </c>
    </row>
    <row r="10" spans="1:2" x14ac:dyDescent="0.3">
      <c r="A10" s="3">
        <v>35.699452365744769</v>
      </c>
      <c r="B10" s="4">
        <v>2</v>
      </c>
    </row>
    <row r="11" spans="1:2" x14ac:dyDescent="0.3">
      <c r="A11" s="3">
        <v>62.257854329434409</v>
      </c>
      <c r="B11" s="4">
        <v>2</v>
      </c>
    </row>
    <row r="12" spans="1:2" x14ac:dyDescent="0.3">
      <c r="A12" s="3">
        <v>49.096229773273095</v>
      </c>
      <c r="B12" s="4">
        <v>2</v>
      </c>
    </row>
    <row r="13" spans="1:2" x14ac:dyDescent="0.3">
      <c r="A13" s="3">
        <v>29.089783606612798</v>
      </c>
      <c r="B13" s="4">
        <v>4</v>
      </c>
    </row>
    <row r="14" spans="1:2" x14ac:dyDescent="0.3">
      <c r="A14" s="3">
        <v>36.060628133426519</v>
      </c>
      <c r="B14" s="4">
        <v>2</v>
      </c>
    </row>
    <row r="15" spans="1:2" x14ac:dyDescent="0.3">
      <c r="A15" s="3">
        <v>41.264322093905861</v>
      </c>
      <c r="B15" s="4">
        <v>1</v>
      </c>
    </row>
    <row r="16" spans="1:2" x14ac:dyDescent="0.3">
      <c r="A16" s="3">
        <v>45.299759464632615</v>
      </c>
      <c r="B16" s="4">
        <v>4</v>
      </c>
    </row>
    <row r="17" spans="1:2" x14ac:dyDescent="0.3">
      <c r="A17" s="3">
        <v>49.479909004156909</v>
      </c>
      <c r="B17" s="4">
        <v>2</v>
      </c>
    </row>
    <row r="18" spans="1:2" x14ac:dyDescent="0.3">
      <c r="A18" s="3">
        <v>55.229357158685289</v>
      </c>
      <c r="B18" s="4">
        <v>2</v>
      </c>
    </row>
    <row r="19" spans="1:2" x14ac:dyDescent="0.3">
      <c r="A19" s="3">
        <v>38.535486337946118</v>
      </c>
      <c r="B19" s="4">
        <v>2</v>
      </c>
    </row>
    <row r="20" spans="1:2" x14ac:dyDescent="0.3">
      <c r="A20" s="3">
        <v>47.419484673348954</v>
      </c>
      <c r="B20" s="4">
        <v>1</v>
      </c>
    </row>
    <row r="21" spans="1:2" x14ac:dyDescent="0.3">
      <c r="A21" s="3">
        <v>45.633559721766382</v>
      </c>
      <c r="B21" s="4">
        <v>3</v>
      </c>
    </row>
    <row r="22" spans="1:2" x14ac:dyDescent="0.3">
      <c r="A22" s="3">
        <v>47.253946575032806</v>
      </c>
      <c r="B22" s="4">
        <v>2</v>
      </c>
    </row>
    <row r="23" spans="1:2" x14ac:dyDescent="0.3">
      <c r="A23" s="3">
        <v>49.015228626731385</v>
      </c>
      <c r="B23" s="4">
        <v>3</v>
      </c>
    </row>
    <row r="24" spans="1:2" x14ac:dyDescent="0.3">
      <c r="A24" s="3">
        <v>57.955751199188853</v>
      </c>
      <c r="B24" s="4">
        <v>2</v>
      </c>
    </row>
    <row r="25" spans="1:2" x14ac:dyDescent="0.3">
      <c r="A25" s="3">
        <v>29.42739551308506</v>
      </c>
      <c r="B25" s="4">
        <v>3</v>
      </c>
    </row>
    <row r="26" spans="1:2" x14ac:dyDescent="0.3">
      <c r="A26" s="3">
        <v>44.539427805401246</v>
      </c>
      <c r="B26" s="4">
        <v>1</v>
      </c>
    </row>
    <row r="27" spans="1:2" x14ac:dyDescent="0.3">
      <c r="A27" s="3">
        <v>43.208011954160561</v>
      </c>
      <c r="B27" s="4">
        <v>2</v>
      </c>
    </row>
    <row r="28" spans="1:2" x14ac:dyDescent="0.3">
      <c r="A28" s="3">
        <v>34.023788464046049</v>
      </c>
      <c r="B28" s="4">
        <v>4</v>
      </c>
    </row>
    <row r="29" spans="1:2" x14ac:dyDescent="0.3">
      <c r="A29" s="3">
        <v>15.732944733991832</v>
      </c>
      <c r="B29" s="4">
        <v>3</v>
      </c>
    </row>
    <row r="30" spans="1:2" x14ac:dyDescent="0.3">
      <c r="A30" s="3">
        <v>38.322041337350541</v>
      </c>
      <c r="B30" s="4">
        <v>1</v>
      </c>
    </row>
    <row r="31" spans="1:2" x14ac:dyDescent="0.3">
      <c r="A31" s="3">
        <v>38.585831865598969</v>
      </c>
      <c r="B31" s="4">
        <v>4</v>
      </c>
    </row>
    <row r="32" spans="1:2" x14ac:dyDescent="0.3">
      <c r="A32" s="3">
        <v>46.400955943840358</v>
      </c>
      <c r="B32" s="4">
        <v>1</v>
      </c>
    </row>
    <row r="33" spans="1:2" x14ac:dyDescent="0.3">
      <c r="A33" s="3">
        <v>42.745532833425351</v>
      </c>
      <c r="B33" s="4">
        <v>4</v>
      </c>
    </row>
    <row r="34" spans="1:2" x14ac:dyDescent="0.3">
      <c r="A34" s="3">
        <v>47.259858856446407</v>
      </c>
      <c r="B34" s="4">
        <v>1</v>
      </c>
    </row>
    <row r="35" spans="1:2" x14ac:dyDescent="0.3">
      <c r="A35" s="3">
        <v>26.783504447135488</v>
      </c>
      <c r="B35" s="4">
        <v>1</v>
      </c>
    </row>
    <row r="36" spans="1:2" x14ac:dyDescent="0.3">
      <c r="A36" s="3">
        <v>54.932002867977161</v>
      </c>
      <c r="B36" s="4">
        <v>2</v>
      </c>
    </row>
    <row r="37" spans="1:2" x14ac:dyDescent="0.3">
      <c r="A37" s="3">
        <v>29.313344490933702</v>
      </c>
      <c r="B37" s="4">
        <v>4</v>
      </c>
    </row>
    <row r="38" spans="1:2" x14ac:dyDescent="0.3">
      <c r="A38" s="3">
        <v>38.298057013364549</v>
      </c>
      <c r="B38" s="4">
        <v>1</v>
      </c>
    </row>
    <row r="39" spans="1:2" x14ac:dyDescent="0.3">
      <c r="A39" s="3">
        <v>33.39812826578877</v>
      </c>
      <c r="B39" s="4">
        <v>1</v>
      </c>
    </row>
    <row r="40" spans="1:2" x14ac:dyDescent="0.3">
      <c r="A40" s="3">
        <v>38.7555728034501</v>
      </c>
      <c r="B40" s="4">
        <v>4</v>
      </c>
    </row>
    <row r="41" spans="1:2" x14ac:dyDescent="0.3">
      <c r="A41" s="3">
        <v>35.941088039467978</v>
      </c>
      <c r="B41" s="4">
        <v>2</v>
      </c>
    </row>
    <row r="42" spans="1:2" x14ac:dyDescent="0.3">
      <c r="A42" s="3">
        <v>41.45297480652733</v>
      </c>
      <c r="B42" s="4">
        <v>4</v>
      </c>
    </row>
    <row r="43" spans="1:2" x14ac:dyDescent="0.3">
      <c r="A43" s="3">
        <v>41.609207673439123</v>
      </c>
      <c r="B43" s="4">
        <v>3</v>
      </c>
    </row>
    <row r="44" spans="1:2" x14ac:dyDescent="0.3">
      <c r="A44" s="3">
        <v>56.969019568229214</v>
      </c>
      <c r="B44" s="4">
        <v>4</v>
      </c>
    </row>
    <row r="45" spans="1:2" x14ac:dyDescent="0.3">
      <c r="A45" s="3">
        <v>45.358943540650955</v>
      </c>
      <c r="B45" s="4">
        <v>1</v>
      </c>
    </row>
    <row r="46" spans="1:2" x14ac:dyDescent="0.3">
      <c r="A46" s="3">
        <v>50.632620297160514</v>
      </c>
      <c r="B46" s="4">
        <v>1</v>
      </c>
    </row>
    <row r="47" spans="1:2" x14ac:dyDescent="0.3">
      <c r="A47" s="3">
        <v>31.422227409123785</v>
      </c>
      <c r="B47" s="4">
        <v>1</v>
      </c>
    </row>
    <row r="48" spans="1:2" x14ac:dyDescent="0.3">
      <c r="A48" s="3">
        <v>50.919600813193775</v>
      </c>
      <c r="B48" s="4">
        <v>2</v>
      </c>
    </row>
    <row r="49" spans="1:2" x14ac:dyDescent="0.3">
      <c r="A49" s="3">
        <v>34.350794416318848</v>
      </c>
      <c r="B49" s="4">
        <v>3</v>
      </c>
    </row>
    <row r="50" spans="1:2" x14ac:dyDescent="0.3">
      <c r="A50" s="3">
        <v>61.623498775860753</v>
      </c>
      <c r="B50" s="4">
        <v>3</v>
      </c>
    </row>
    <row r="51" spans="1:2" x14ac:dyDescent="0.3">
      <c r="A51" s="3">
        <v>46.91704461010734</v>
      </c>
      <c r="B51" s="4">
        <v>2</v>
      </c>
    </row>
    <row r="52" spans="1:2" x14ac:dyDescent="0.3">
      <c r="A52" s="3">
        <v>44.498217430330328</v>
      </c>
      <c r="B52" s="4">
        <v>2</v>
      </c>
    </row>
    <row r="53" spans="1:2" x14ac:dyDescent="0.3">
      <c r="A53" s="3">
        <v>36.564925735469046</v>
      </c>
      <c r="B53" s="4">
        <v>4</v>
      </c>
    </row>
    <row r="54" spans="1:2" x14ac:dyDescent="0.3">
      <c r="A54" s="3">
        <v>31.599095886836952</v>
      </c>
      <c r="B54" s="4">
        <v>3</v>
      </c>
    </row>
    <row r="55" spans="1:2" x14ac:dyDescent="0.3">
      <c r="A55" s="3">
        <v>14.141183699400901</v>
      </c>
      <c r="B55" s="4">
        <v>3</v>
      </c>
    </row>
    <row r="56" spans="1:2" x14ac:dyDescent="0.3">
      <c r="A56" s="3">
        <v>30.262426460063544</v>
      </c>
      <c r="B56" s="4">
        <v>3</v>
      </c>
    </row>
    <row r="57" spans="1:2" x14ac:dyDescent="0.3">
      <c r="A57" s="3">
        <v>46.13384759254685</v>
      </c>
      <c r="B57" s="4">
        <v>4</v>
      </c>
    </row>
    <row r="58" spans="1:2" x14ac:dyDescent="0.3">
      <c r="A58" s="3">
        <v>34.396373640534406</v>
      </c>
      <c r="B58" s="4">
        <v>2</v>
      </c>
    </row>
    <row r="59" spans="1:2" x14ac:dyDescent="0.3">
      <c r="A59" s="3">
        <v>55.631031157596432</v>
      </c>
      <c r="B59" s="4">
        <v>2</v>
      </c>
    </row>
    <row r="60" spans="1:2" x14ac:dyDescent="0.3">
      <c r="A60" s="3">
        <v>48.337255076394158</v>
      </c>
      <c r="B60" s="4">
        <v>4</v>
      </c>
    </row>
    <row r="61" spans="1:2" x14ac:dyDescent="0.3">
      <c r="A61" s="3">
        <v>44.758018171337334</v>
      </c>
      <c r="B61" s="4">
        <v>1</v>
      </c>
    </row>
    <row r="62" spans="1:2" x14ac:dyDescent="0.3">
      <c r="A62" s="3">
        <v>47.075945959678648</v>
      </c>
      <c r="B62" s="4">
        <v>3</v>
      </c>
    </row>
    <row r="63" spans="1:2" x14ac:dyDescent="0.3">
      <c r="A63" s="3">
        <v>14.907961146111912</v>
      </c>
      <c r="B63" s="4">
        <v>2</v>
      </c>
    </row>
    <row r="64" spans="1:2" x14ac:dyDescent="0.3">
      <c r="A64" s="3">
        <v>55.775016580361566</v>
      </c>
      <c r="B64" s="4">
        <v>1</v>
      </c>
    </row>
    <row r="65" spans="1:2" x14ac:dyDescent="0.3">
      <c r="A65" s="3">
        <v>43.945589355818704</v>
      </c>
      <c r="B65" s="4">
        <v>4</v>
      </c>
    </row>
    <row r="66" spans="1:2" x14ac:dyDescent="0.3">
      <c r="A66" s="3">
        <v>27.92490461327613</v>
      </c>
      <c r="B66" s="4">
        <v>3</v>
      </c>
    </row>
    <row r="67" spans="1:2" x14ac:dyDescent="0.3">
      <c r="A67" s="3">
        <v>29.776864623830299</v>
      </c>
      <c r="B67" s="4">
        <v>4</v>
      </c>
    </row>
    <row r="68" spans="1:2" x14ac:dyDescent="0.3">
      <c r="A68" s="3">
        <v>41.603346332061605</v>
      </c>
      <c r="B68" s="4">
        <v>3</v>
      </c>
    </row>
    <row r="69" spans="1:2" x14ac:dyDescent="0.3">
      <c r="A69" s="3">
        <v>66.342004141765216</v>
      </c>
      <c r="B69" s="4">
        <v>3</v>
      </c>
    </row>
    <row r="70" spans="1:2" x14ac:dyDescent="0.3">
      <c r="A70" s="3">
        <v>39.81654616922355</v>
      </c>
      <c r="B70" s="4">
        <v>4</v>
      </c>
    </row>
    <row r="71" spans="1:2" x14ac:dyDescent="0.3">
      <c r="A71" s="3">
        <v>47.539830032614702</v>
      </c>
      <c r="B71" s="4">
        <v>1</v>
      </c>
    </row>
    <row r="72" spans="1:2" x14ac:dyDescent="0.3">
      <c r="A72" s="3">
        <v>58.843201828261954</v>
      </c>
      <c r="B72" s="4">
        <v>3</v>
      </c>
    </row>
    <row r="73" spans="1:2" x14ac:dyDescent="0.3">
      <c r="A73" s="3">
        <v>41.755300372804022</v>
      </c>
      <c r="B73" s="4">
        <v>1</v>
      </c>
    </row>
    <row r="74" spans="1:2" x14ac:dyDescent="0.3">
      <c r="A74" s="3">
        <v>45.938078700596044</v>
      </c>
      <c r="B74" s="4">
        <v>4</v>
      </c>
    </row>
    <row r="75" spans="1:2" x14ac:dyDescent="0.3">
      <c r="A75" s="3">
        <v>46.163168773755615</v>
      </c>
      <c r="B75" s="4">
        <v>1</v>
      </c>
    </row>
    <row r="76" spans="1:2" x14ac:dyDescent="0.3">
      <c r="A76" s="3">
        <v>33.483962352147778</v>
      </c>
      <c r="B76" s="4">
        <v>4</v>
      </c>
    </row>
    <row r="77" spans="1:2" x14ac:dyDescent="0.3">
      <c r="A77" s="3">
        <v>47.7028570145904</v>
      </c>
      <c r="B77" s="4">
        <v>2</v>
      </c>
    </row>
    <row r="78" spans="1:2" x14ac:dyDescent="0.3">
      <c r="A78" s="3">
        <v>43.655045755970136</v>
      </c>
      <c r="B78" s="4">
        <v>4</v>
      </c>
    </row>
    <row r="79" spans="1:2" x14ac:dyDescent="0.3">
      <c r="A79" s="3">
        <v>38.459784385244852</v>
      </c>
      <c r="B79" s="4">
        <v>3</v>
      </c>
    </row>
    <row r="80" spans="1:2" x14ac:dyDescent="0.3">
      <c r="A80" s="3">
        <v>46.136788585204464</v>
      </c>
      <c r="B80" s="4">
        <v>1</v>
      </c>
    </row>
    <row r="81" spans="1:2" x14ac:dyDescent="0.3">
      <c r="A81" s="3">
        <v>57.167625279304289</v>
      </c>
      <c r="B81" s="4">
        <v>1</v>
      </c>
    </row>
    <row r="82" spans="1:2" x14ac:dyDescent="0.3">
      <c r="A82" s="3">
        <v>45.603923047657197</v>
      </c>
      <c r="B82" s="4">
        <v>2</v>
      </c>
    </row>
    <row r="83" spans="1:2" x14ac:dyDescent="0.3">
      <c r="A83" s="3">
        <v>51.152828613762608</v>
      </c>
      <c r="B83" s="4">
        <v>4</v>
      </c>
    </row>
    <row r="84" spans="1:2" x14ac:dyDescent="0.3">
      <c r="A84" s="3">
        <v>45.807149417815964</v>
      </c>
      <c r="B84" s="4">
        <v>1</v>
      </c>
    </row>
    <row r="85" spans="1:2" x14ac:dyDescent="0.3">
      <c r="A85" s="3">
        <v>56.233199664773423</v>
      </c>
      <c r="B85" s="4">
        <v>4</v>
      </c>
    </row>
    <row r="86" spans="1:2" x14ac:dyDescent="0.3">
      <c r="A86" s="3">
        <v>49.950731790454952</v>
      </c>
      <c r="B86" s="4">
        <v>3</v>
      </c>
    </row>
    <row r="87" spans="1:2" x14ac:dyDescent="0.3">
      <c r="A87" s="3">
        <v>27.58963098667888</v>
      </c>
      <c r="B87" s="4">
        <v>3</v>
      </c>
    </row>
    <row r="88" spans="1:2" x14ac:dyDescent="0.3">
      <c r="A88" s="3">
        <v>30.09610773717711</v>
      </c>
      <c r="B88" s="4">
        <v>3</v>
      </c>
    </row>
    <row r="89" spans="1:2" x14ac:dyDescent="0.3">
      <c r="A89" s="3">
        <v>47.466336478172479</v>
      </c>
      <c r="B89" s="4">
        <v>4</v>
      </c>
    </row>
    <row r="90" spans="1:2" x14ac:dyDescent="0.3">
      <c r="A90" s="3">
        <v>54.417109697371473</v>
      </c>
      <c r="B90" s="4">
        <v>1</v>
      </c>
    </row>
    <row r="91" spans="1:2" x14ac:dyDescent="0.3">
      <c r="A91" s="3">
        <v>40.17081031181813</v>
      </c>
      <c r="B91" s="4">
        <v>2</v>
      </c>
    </row>
    <row r="92" spans="1:2" x14ac:dyDescent="0.3">
      <c r="A92" s="3">
        <v>43.03187594024115</v>
      </c>
      <c r="B92" s="4">
        <v>3</v>
      </c>
    </row>
    <row r="93" spans="1:2" x14ac:dyDescent="0.3">
      <c r="A93" s="3">
        <v>58.511705183655344</v>
      </c>
      <c r="B93" s="4">
        <v>2</v>
      </c>
    </row>
    <row r="94" spans="1:2" x14ac:dyDescent="0.3">
      <c r="A94" s="3">
        <v>51.434196156658516</v>
      </c>
      <c r="B94" s="4">
        <v>4</v>
      </c>
    </row>
    <row r="95" spans="1:2" x14ac:dyDescent="0.3">
      <c r="A95" s="3">
        <v>22.795715125199802</v>
      </c>
      <c r="B95" s="4">
        <v>1</v>
      </c>
    </row>
    <row r="96" spans="1:2" x14ac:dyDescent="0.3">
      <c r="A96" s="3">
        <v>51.322420948643284</v>
      </c>
      <c r="B96" s="4">
        <v>4</v>
      </c>
    </row>
    <row r="97" spans="1:2" x14ac:dyDescent="0.3">
      <c r="A97" s="3">
        <v>57.78742516011954</v>
      </c>
      <c r="B97" s="4">
        <v>2</v>
      </c>
    </row>
    <row r="98" spans="1:2" x14ac:dyDescent="0.3">
      <c r="A98" s="3">
        <v>47.065535987975778</v>
      </c>
      <c r="B98" s="4">
        <v>1</v>
      </c>
    </row>
    <row r="99" spans="1:2" x14ac:dyDescent="0.3">
      <c r="A99" s="3">
        <v>39.383543215057784</v>
      </c>
      <c r="B99" s="4">
        <v>3</v>
      </c>
    </row>
    <row r="100" spans="1:2" x14ac:dyDescent="0.3">
      <c r="A100" s="3">
        <v>38.913860242410195</v>
      </c>
      <c r="B100" s="4">
        <v>1</v>
      </c>
    </row>
    <row r="101" spans="1:2" x14ac:dyDescent="0.3">
      <c r="A101" s="3">
        <v>42.784485159089797</v>
      </c>
      <c r="B101" s="4">
        <v>2</v>
      </c>
    </row>
    <row r="102" spans="1:2" x14ac:dyDescent="0.3">
      <c r="A102" s="3">
        <v>40.27514638035062</v>
      </c>
      <c r="B102" s="4">
        <v>1</v>
      </c>
    </row>
    <row r="103" spans="1:2" x14ac:dyDescent="0.3">
      <c r="A103" s="3">
        <v>31.913511535353514</v>
      </c>
      <c r="B103" s="4">
        <v>3</v>
      </c>
    </row>
    <row r="104" spans="1:2" x14ac:dyDescent="0.3">
      <c r="A104" s="3">
        <v>64.919722738413611</v>
      </c>
      <c r="B104" s="4">
        <v>3</v>
      </c>
    </row>
    <row r="105" spans="1:2" x14ac:dyDescent="0.3">
      <c r="A105" s="3">
        <v>55.270074178525491</v>
      </c>
      <c r="B105" s="4">
        <v>3</v>
      </c>
    </row>
    <row r="106" spans="1:2" x14ac:dyDescent="0.3">
      <c r="A106" s="3">
        <v>46.295952087315186</v>
      </c>
      <c r="B106" s="4">
        <v>1</v>
      </c>
    </row>
    <row r="107" spans="1:2" x14ac:dyDescent="0.3">
      <c r="A107" s="3">
        <v>52.951138315682144</v>
      </c>
      <c r="B107" s="4">
        <v>4</v>
      </c>
    </row>
    <row r="108" spans="1:2" x14ac:dyDescent="0.3">
      <c r="A108" s="3">
        <v>33.570986580570285</v>
      </c>
      <c r="B108" s="4">
        <v>2</v>
      </c>
    </row>
    <row r="109" spans="1:2" x14ac:dyDescent="0.3">
      <c r="A109" s="3">
        <v>44.22112647476191</v>
      </c>
      <c r="B109" s="4">
        <v>3</v>
      </c>
    </row>
    <row r="110" spans="1:2" x14ac:dyDescent="0.3">
      <c r="A110" s="3">
        <v>34.448818303521378</v>
      </c>
      <c r="B110" s="4">
        <v>2</v>
      </c>
    </row>
    <row r="111" spans="1:2" x14ac:dyDescent="0.3">
      <c r="A111" s="3">
        <v>24.251851405354174</v>
      </c>
      <c r="B111" s="4">
        <v>1</v>
      </c>
    </row>
    <row r="112" spans="1:2" x14ac:dyDescent="0.3">
      <c r="A112" s="3">
        <v>48.114629308608926</v>
      </c>
      <c r="B112" s="4">
        <v>1</v>
      </c>
    </row>
    <row r="113" spans="1:2" x14ac:dyDescent="0.3">
      <c r="A113" s="3">
        <v>41.358007175647742</v>
      </c>
      <c r="B113" s="4">
        <v>3</v>
      </c>
    </row>
    <row r="114" spans="1:2" x14ac:dyDescent="0.3">
      <c r="A114" s="3">
        <v>60.757546868148339</v>
      </c>
      <c r="B114" s="4">
        <v>4</v>
      </c>
    </row>
    <row r="115" spans="1:2" x14ac:dyDescent="0.3">
      <c r="A115" s="3">
        <v>54.959685234606127</v>
      </c>
      <c r="B115" s="4">
        <v>3</v>
      </c>
    </row>
    <row r="116" spans="1:2" x14ac:dyDescent="0.3">
      <c r="A116" s="3">
        <v>53.901288728179637</v>
      </c>
      <c r="B116" s="4">
        <v>1</v>
      </c>
    </row>
    <row r="117" spans="1:2" x14ac:dyDescent="0.3">
      <c r="A117" s="3">
        <v>49.721303256588676</v>
      </c>
      <c r="B117" s="4">
        <v>4</v>
      </c>
    </row>
    <row r="118" spans="1:2" x14ac:dyDescent="0.3">
      <c r="A118" s="3">
        <v>41.96689139564964</v>
      </c>
      <c r="B118" s="4">
        <v>1</v>
      </c>
    </row>
    <row r="119" spans="1:2" x14ac:dyDescent="0.3">
      <c r="A119" s="3">
        <v>31.922253823733683</v>
      </c>
      <c r="B119" s="4">
        <v>2</v>
      </c>
    </row>
    <row r="120" spans="1:2" x14ac:dyDescent="0.3">
      <c r="A120" s="3">
        <v>21.882754068971629</v>
      </c>
      <c r="B120" s="4">
        <v>3</v>
      </c>
    </row>
    <row r="121" spans="1:2" x14ac:dyDescent="0.3">
      <c r="A121" s="3">
        <v>60.287773694989014</v>
      </c>
      <c r="B121" s="4">
        <v>4</v>
      </c>
    </row>
    <row r="122" spans="1:2" x14ac:dyDescent="0.3">
      <c r="A122" s="3">
        <v>36.799027588552072</v>
      </c>
      <c r="B122" s="4">
        <v>4</v>
      </c>
    </row>
    <row r="123" spans="1:2" x14ac:dyDescent="0.3">
      <c r="A123" s="3">
        <v>56.683162550963246</v>
      </c>
      <c r="B123" s="4">
        <v>2</v>
      </c>
    </row>
    <row r="124" spans="1:2" x14ac:dyDescent="0.3">
      <c r="A124" s="3">
        <v>54.072159058144315</v>
      </c>
      <c r="B124" s="4">
        <v>2</v>
      </c>
    </row>
    <row r="125" spans="1:2" x14ac:dyDescent="0.3">
      <c r="A125" s="3">
        <v>51.637578356371328</v>
      </c>
      <c r="B125" s="4">
        <v>4</v>
      </c>
    </row>
    <row r="126" spans="1:2" x14ac:dyDescent="0.3">
      <c r="A126" s="3">
        <v>49.841378701344617</v>
      </c>
      <c r="B126" s="4">
        <v>4</v>
      </c>
    </row>
    <row r="127" spans="1:2" x14ac:dyDescent="0.3">
      <c r="A127" s="3">
        <v>41.497723800858786</v>
      </c>
      <c r="B127" s="4">
        <v>3</v>
      </c>
    </row>
    <row r="128" spans="1:2" x14ac:dyDescent="0.3">
      <c r="A128" s="3">
        <v>56.262601965854145</v>
      </c>
      <c r="B128" s="4">
        <v>4</v>
      </c>
    </row>
    <row r="129" spans="1:2" x14ac:dyDescent="0.3">
      <c r="A129" s="3">
        <v>63.230234035411172</v>
      </c>
      <c r="B129" s="4">
        <v>1</v>
      </c>
    </row>
    <row r="130" spans="1:2" x14ac:dyDescent="0.3">
      <c r="A130" s="3">
        <v>62.487248638143967</v>
      </c>
      <c r="B130" s="4">
        <v>4</v>
      </c>
    </row>
    <row r="131" spans="1:2" x14ac:dyDescent="0.3">
      <c r="A131" s="3">
        <v>36.634307818632081</v>
      </c>
      <c r="B131" s="4">
        <v>4</v>
      </c>
    </row>
    <row r="132" spans="1:2" x14ac:dyDescent="0.3">
      <c r="A132" s="3">
        <v>52.721429806411571</v>
      </c>
      <c r="B132" s="4">
        <v>3</v>
      </c>
    </row>
    <row r="133" spans="1:2" x14ac:dyDescent="0.3">
      <c r="A133" s="3">
        <v>35.433764587968938</v>
      </c>
      <c r="B133" s="4">
        <v>4</v>
      </c>
    </row>
    <row r="134" spans="1:2" x14ac:dyDescent="0.3">
      <c r="A134" s="3">
        <v>58.315436141465504</v>
      </c>
      <c r="B134" s="4">
        <v>1</v>
      </c>
    </row>
    <row r="135" spans="1:2" x14ac:dyDescent="0.3">
      <c r="A135" s="3">
        <v>53.211086232033729</v>
      </c>
      <c r="B135" s="4">
        <v>1</v>
      </c>
    </row>
    <row r="136" spans="1:2" x14ac:dyDescent="0.3">
      <c r="A136" s="3">
        <v>48.239722186811051</v>
      </c>
      <c r="B136" s="4">
        <v>1</v>
      </c>
    </row>
    <row r="137" spans="1:2" x14ac:dyDescent="0.3">
      <c r="A137" s="3">
        <v>26.540656226335901</v>
      </c>
      <c r="B137" s="4">
        <v>3</v>
      </c>
    </row>
    <row r="138" spans="1:2" x14ac:dyDescent="0.3">
      <c r="A138" s="3">
        <v>57.052437952296813</v>
      </c>
      <c r="B138" s="4">
        <v>2</v>
      </c>
    </row>
    <row r="139" spans="1:2" x14ac:dyDescent="0.3">
      <c r="A139" s="3">
        <v>45.58286487284655</v>
      </c>
      <c r="B139" s="4">
        <v>1</v>
      </c>
    </row>
    <row r="140" spans="1:2" x14ac:dyDescent="0.3">
      <c r="A140" s="3">
        <v>32.479959571800464</v>
      </c>
      <c r="B140" s="4">
        <v>3</v>
      </c>
    </row>
    <row r="141" spans="1:2" x14ac:dyDescent="0.3">
      <c r="A141" s="3">
        <v>32.570094189856079</v>
      </c>
      <c r="B141" s="4">
        <v>4</v>
      </c>
    </row>
    <row r="142" spans="1:2" x14ac:dyDescent="0.3">
      <c r="A142" s="3">
        <v>62.634354224068289</v>
      </c>
      <c r="B142" s="4">
        <v>1</v>
      </c>
    </row>
    <row r="143" spans="1:2" x14ac:dyDescent="0.3">
      <c r="A143" s="3">
        <v>44.839130402658292</v>
      </c>
      <c r="B143" s="4">
        <v>4</v>
      </c>
    </row>
    <row r="144" spans="1:2" x14ac:dyDescent="0.3">
      <c r="A144" s="3">
        <v>43.145385849222947</v>
      </c>
      <c r="B144" s="4">
        <v>1</v>
      </c>
    </row>
    <row r="145" spans="1:2" x14ac:dyDescent="0.3">
      <c r="A145" s="3">
        <v>28.896512443312805</v>
      </c>
      <c r="B145" s="4">
        <v>2</v>
      </c>
    </row>
    <row r="146" spans="1:2" x14ac:dyDescent="0.3">
      <c r="A146" s="3">
        <v>52.749722704023533</v>
      </c>
      <c r="B146" s="4">
        <v>3</v>
      </c>
    </row>
    <row r="147" spans="1:2" x14ac:dyDescent="0.3">
      <c r="A147" s="3">
        <v>33.767943593027681</v>
      </c>
      <c r="B147" s="4">
        <v>1</v>
      </c>
    </row>
    <row r="148" spans="1:2" x14ac:dyDescent="0.3">
      <c r="A148" s="3">
        <v>61.726180820007279</v>
      </c>
      <c r="B148" s="4">
        <v>2</v>
      </c>
    </row>
    <row r="149" spans="1:2" x14ac:dyDescent="0.3">
      <c r="A149" s="3">
        <v>39.669474859587694</v>
      </c>
      <c r="B149" s="4">
        <v>4</v>
      </c>
    </row>
    <row r="150" spans="1:2" x14ac:dyDescent="0.3">
      <c r="A150" s="3">
        <v>41.149067972700578</v>
      </c>
      <c r="B150" s="4">
        <v>1</v>
      </c>
    </row>
    <row r="151" spans="1:2" x14ac:dyDescent="0.3">
      <c r="A151" s="3">
        <v>32.287936904557995</v>
      </c>
      <c r="B151" s="4">
        <v>3</v>
      </c>
    </row>
    <row r="152" spans="1:2" x14ac:dyDescent="0.3">
      <c r="A152" s="3">
        <v>57.578611132564163</v>
      </c>
      <c r="B152" s="4">
        <v>3</v>
      </c>
    </row>
    <row r="153" spans="1:2" x14ac:dyDescent="0.3">
      <c r="A153" s="3">
        <v>46.802318015155699</v>
      </c>
      <c r="B153" s="4">
        <v>1</v>
      </c>
    </row>
    <row r="154" spans="1:2" x14ac:dyDescent="0.3">
      <c r="A154" s="3">
        <v>62.205869581996296</v>
      </c>
      <c r="B154" s="4">
        <v>3</v>
      </c>
    </row>
    <row r="155" spans="1:2" x14ac:dyDescent="0.3">
      <c r="A155" s="3">
        <v>45.871964911570181</v>
      </c>
      <c r="B155" s="4">
        <v>3</v>
      </c>
    </row>
    <row r="156" spans="1:2" x14ac:dyDescent="0.3">
      <c r="A156" s="3">
        <v>33.476050286264126</v>
      </c>
      <c r="B156" s="4">
        <v>2</v>
      </c>
    </row>
    <row r="157" spans="1:2" x14ac:dyDescent="0.3">
      <c r="A157" s="3">
        <v>24.492427550082564</v>
      </c>
      <c r="B157" s="4">
        <v>4</v>
      </c>
    </row>
    <row r="158" spans="1:2" x14ac:dyDescent="0.3">
      <c r="A158" s="3">
        <v>25.083310867852131</v>
      </c>
      <c r="B158" s="4">
        <v>1</v>
      </c>
    </row>
    <row r="159" spans="1:2" x14ac:dyDescent="0.3">
      <c r="A159" s="3">
        <v>48.797394941123279</v>
      </c>
      <c r="B159" s="4">
        <v>2</v>
      </c>
    </row>
    <row r="160" spans="1:2" x14ac:dyDescent="0.3">
      <c r="A160" s="3">
        <v>39.595588327258646</v>
      </c>
      <c r="B160" s="4">
        <v>3</v>
      </c>
    </row>
    <row r="161" spans="1:2" x14ac:dyDescent="0.3">
      <c r="A161" s="3">
        <v>58.842458725483553</v>
      </c>
      <c r="B161" s="4">
        <v>3</v>
      </c>
    </row>
    <row r="162" spans="1:2" x14ac:dyDescent="0.3">
      <c r="A162" s="3">
        <v>43.937496429837502</v>
      </c>
      <c r="B162" s="4">
        <v>3</v>
      </c>
    </row>
    <row r="163" spans="1:2" x14ac:dyDescent="0.3">
      <c r="A163" s="3">
        <v>44.128607780461948</v>
      </c>
      <c r="B163" s="4">
        <v>1</v>
      </c>
    </row>
    <row r="164" spans="1:2" x14ac:dyDescent="0.3">
      <c r="A164" s="3">
        <v>50.257546388713422</v>
      </c>
      <c r="B164" s="4">
        <v>3</v>
      </c>
    </row>
    <row r="165" spans="1:2" x14ac:dyDescent="0.3">
      <c r="A165" s="3">
        <v>47.636802888923917</v>
      </c>
      <c r="B165" s="4">
        <v>4</v>
      </c>
    </row>
    <row r="166" spans="1:2" x14ac:dyDescent="0.3">
      <c r="A166" s="3">
        <v>44.240481805739734</v>
      </c>
      <c r="B166" s="4">
        <v>2</v>
      </c>
    </row>
    <row r="167" spans="1:2" x14ac:dyDescent="0.3">
      <c r="A167" s="3">
        <v>41.359617790489111</v>
      </c>
      <c r="B167" s="4">
        <v>4</v>
      </c>
    </row>
    <row r="168" spans="1:2" x14ac:dyDescent="0.3">
      <c r="A168" s="3">
        <v>39.106297400503614</v>
      </c>
      <c r="B168" s="4">
        <v>2</v>
      </c>
    </row>
    <row r="169" spans="1:2" x14ac:dyDescent="0.3">
      <c r="A169" s="3">
        <v>46.115050001151062</v>
      </c>
      <c r="B169" s="4">
        <v>3</v>
      </c>
    </row>
    <row r="170" spans="1:2" x14ac:dyDescent="0.3">
      <c r="A170" s="3">
        <v>50.428702154282639</v>
      </c>
      <c r="B170" s="4">
        <v>4</v>
      </c>
    </row>
    <row r="171" spans="1:2" x14ac:dyDescent="0.3">
      <c r="A171" s="3">
        <v>35.77776962991193</v>
      </c>
      <c r="B171" s="4">
        <v>4</v>
      </c>
    </row>
    <row r="172" spans="1:2" x14ac:dyDescent="0.3">
      <c r="A172" s="3">
        <v>46.637106502075056</v>
      </c>
      <c r="B172" s="4">
        <v>2</v>
      </c>
    </row>
    <row r="173" spans="1:2" x14ac:dyDescent="0.3">
      <c r="A173" s="3">
        <v>38.204630048851712</v>
      </c>
      <c r="B173" s="4">
        <v>2</v>
      </c>
    </row>
    <row r="174" spans="1:2" x14ac:dyDescent="0.3">
      <c r="A174" s="3">
        <v>42.029769626420205</v>
      </c>
      <c r="B174" s="4">
        <v>2</v>
      </c>
    </row>
    <row r="175" spans="1:2" x14ac:dyDescent="0.3">
      <c r="A175" s="3">
        <v>61.186051635638165</v>
      </c>
      <c r="B175" s="4">
        <v>1</v>
      </c>
    </row>
    <row r="176" spans="1:2" x14ac:dyDescent="0.3">
      <c r="A176" s="3">
        <v>32.044498584824041</v>
      </c>
      <c r="B176" s="4">
        <v>1</v>
      </c>
    </row>
    <row r="177" spans="1:2" x14ac:dyDescent="0.3">
      <c r="A177" s="3">
        <v>30.511735823257666</v>
      </c>
      <c r="B177" s="4">
        <v>4</v>
      </c>
    </row>
    <row r="178" spans="1:2" x14ac:dyDescent="0.3">
      <c r="A178" s="3">
        <v>45.987805051651492</v>
      </c>
      <c r="B178" s="4">
        <v>4</v>
      </c>
    </row>
    <row r="179" spans="1:2" x14ac:dyDescent="0.3">
      <c r="A179" s="3">
        <v>34.381873505594442</v>
      </c>
      <c r="B179" s="4">
        <v>4</v>
      </c>
    </row>
    <row r="180" spans="1:2" x14ac:dyDescent="0.3">
      <c r="A180" s="3">
        <v>46.641857331702994</v>
      </c>
      <c r="B180" s="4">
        <v>4</v>
      </c>
    </row>
    <row r="181" spans="1:2" x14ac:dyDescent="0.3">
      <c r="A181" s="3">
        <v>38.937317822571153</v>
      </c>
      <c r="B181" s="4">
        <v>4</v>
      </c>
    </row>
    <row r="182" spans="1:2" x14ac:dyDescent="0.3">
      <c r="A182" s="3">
        <v>61.335589905175439</v>
      </c>
      <c r="B182" s="4">
        <v>3</v>
      </c>
    </row>
    <row r="183" spans="1:2" x14ac:dyDescent="0.3">
      <c r="A183" s="3">
        <v>49.771515570277323</v>
      </c>
      <c r="B183" s="4">
        <v>3</v>
      </c>
    </row>
    <row r="184" spans="1:2" x14ac:dyDescent="0.3">
      <c r="A184" s="3">
        <v>43.142067918146367</v>
      </c>
      <c r="B184" s="4">
        <v>4</v>
      </c>
    </row>
    <row r="185" spans="1:2" x14ac:dyDescent="0.3">
      <c r="A185" s="3">
        <v>48.164289303580041</v>
      </c>
      <c r="B185" s="4">
        <v>1</v>
      </c>
    </row>
    <row r="186" spans="1:2" x14ac:dyDescent="0.3">
      <c r="A186" s="3">
        <v>69.024282132772981</v>
      </c>
      <c r="B186" s="4">
        <v>2</v>
      </c>
    </row>
    <row r="187" spans="1:2" x14ac:dyDescent="0.3">
      <c r="A187" s="3">
        <v>35.761167421870091</v>
      </c>
      <c r="B187" s="4">
        <v>1</v>
      </c>
    </row>
    <row r="188" spans="1:2" x14ac:dyDescent="0.3">
      <c r="A188" s="3">
        <v>51.676333683322525</v>
      </c>
      <c r="B188" s="4">
        <v>2</v>
      </c>
    </row>
    <row r="189" spans="1:2" x14ac:dyDescent="0.3">
      <c r="A189" s="3">
        <v>27.929672073696835</v>
      </c>
      <c r="B189" s="4">
        <v>4</v>
      </c>
    </row>
    <row r="190" spans="1:2" x14ac:dyDescent="0.3">
      <c r="A190" s="3">
        <v>56.093983704672389</v>
      </c>
      <c r="B190" s="4">
        <v>3</v>
      </c>
    </row>
    <row r="191" spans="1:2" x14ac:dyDescent="0.3">
      <c r="A191" s="3">
        <v>36.383428915193484</v>
      </c>
      <c r="B191" s="4">
        <v>1</v>
      </c>
    </row>
    <row r="192" spans="1:2" x14ac:dyDescent="0.3">
      <c r="A192" s="3">
        <v>43.884441728519235</v>
      </c>
      <c r="B192" s="4">
        <v>4</v>
      </c>
    </row>
    <row r="193" spans="1:2" x14ac:dyDescent="0.3">
      <c r="A193" s="3">
        <v>41.230819586416104</v>
      </c>
      <c r="B193" s="4">
        <v>3</v>
      </c>
    </row>
    <row r="194" spans="1:2" x14ac:dyDescent="0.3">
      <c r="A194" s="3">
        <v>37.819278807466084</v>
      </c>
      <c r="B194" s="4">
        <v>2</v>
      </c>
    </row>
    <row r="195" spans="1:2" x14ac:dyDescent="0.3">
      <c r="A195" s="3">
        <v>15.585516185555754</v>
      </c>
      <c r="B195" s="4">
        <v>3</v>
      </c>
    </row>
    <row r="196" spans="1:2" x14ac:dyDescent="0.3">
      <c r="A196" s="3">
        <v>57.540996541415907</v>
      </c>
      <c r="B196" s="4">
        <v>3</v>
      </c>
    </row>
    <row r="197" spans="1:2" x14ac:dyDescent="0.3">
      <c r="A197" s="3">
        <v>45.946939952174993</v>
      </c>
      <c r="B197" s="4">
        <v>1</v>
      </c>
    </row>
    <row r="198" spans="1:2" x14ac:dyDescent="0.3">
      <c r="A198" s="3">
        <v>46.833307857838669</v>
      </c>
      <c r="B198" s="4">
        <v>4</v>
      </c>
    </row>
    <row r="199" spans="1:2" x14ac:dyDescent="0.3">
      <c r="A199" s="3">
        <v>38.074518576395448</v>
      </c>
      <c r="B199" s="4">
        <v>3</v>
      </c>
    </row>
    <row r="200" spans="1:2" x14ac:dyDescent="0.3">
      <c r="A200" s="3">
        <v>50.689314516525869</v>
      </c>
      <c r="B200" s="4">
        <v>1</v>
      </c>
    </row>
    <row r="201" spans="1:2" x14ac:dyDescent="0.3">
      <c r="A201" s="3">
        <v>34.987226948565329</v>
      </c>
      <c r="B201" s="4">
        <v>4</v>
      </c>
    </row>
    <row r="202" spans="1:2" x14ac:dyDescent="0.3">
      <c r="A202" s="3">
        <v>38.656471298942058</v>
      </c>
      <c r="B202" s="4">
        <v>3</v>
      </c>
    </row>
    <row r="203" spans="1:2" x14ac:dyDescent="0.3">
      <c r="A203" s="3">
        <v>32.39613821999226</v>
      </c>
      <c r="B203" s="4">
        <v>2</v>
      </c>
    </row>
    <row r="204" spans="1:2" x14ac:dyDescent="0.3">
      <c r="A204" s="3">
        <v>29.541197120717968</v>
      </c>
      <c r="B204" s="4">
        <v>3</v>
      </c>
    </row>
    <row r="205" spans="1:2" x14ac:dyDescent="0.3">
      <c r="A205" s="3">
        <v>51.804981973375128</v>
      </c>
      <c r="B205" s="4">
        <v>4</v>
      </c>
    </row>
    <row r="206" spans="1:2" x14ac:dyDescent="0.3">
      <c r="A206" s="3">
        <v>35.355001594779125</v>
      </c>
      <c r="B206" s="4">
        <v>3</v>
      </c>
    </row>
    <row r="207" spans="1:2" x14ac:dyDescent="0.3">
      <c r="A207" s="3">
        <v>52.039011693471423</v>
      </c>
      <c r="B207" s="4">
        <v>2</v>
      </c>
    </row>
    <row r="208" spans="1:2" x14ac:dyDescent="0.3">
      <c r="A208" s="3">
        <v>55.038852776167658</v>
      </c>
      <c r="B208" s="4">
        <v>2</v>
      </c>
    </row>
    <row r="209" spans="1:2" x14ac:dyDescent="0.3">
      <c r="A209" s="3">
        <v>46.08080099460593</v>
      </c>
      <c r="B209" s="4">
        <v>2</v>
      </c>
    </row>
    <row r="210" spans="1:2" x14ac:dyDescent="0.3">
      <c r="A210" s="3">
        <v>52.678529567657577</v>
      </c>
      <c r="B210" s="4">
        <v>4</v>
      </c>
    </row>
    <row r="211" spans="1:2" x14ac:dyDescent="0.3">
      <c r="A211" s="3">
        <v>62.973766981390817</v>
      </c>
      <c r="B211" s="4">
        <v>1</v>
      </c>
    </row>
    <row r="212" spans="1:2" x14ac:dyDescent="0.3">
      <c r="A212" s="3">
        <v>43.014140119444306</v>
      </c>
      <c r="B212" s="4">
        <v>4</v>
      </c>
    </row>
    <row r="213" spans="1:2" x14ac:dyDescent="0.3">
      <c r="A213" s="3">
        <v>37.933252237409327</v>
      </c>
      <c r="B213" s="4">
        <v>4</v>
      </c>
    </row>
    <row r="214" spans="1:2" x14ac:dyDescent="0.3">
      <c r="A214" s="3">
        <v>30.104299691620383</v>
      </c>
      <c r="B214" s="4">
        <v>2</v>
      </c>
    </row>
    <row r="215" spans="1:2" x14ac:dyDescent="0.3">
      <c r="A215" s="3">
        <v>63.243779864320103</v>
      </c>
      <c r="B215" s="4">
        <v>1</v>
      </c>
    </row>
    <row r="216" spans="1:2" x14ac:dyDescent="0.3">
      <c r="A216" s="3">
        <v>48.977923974990574</v>
      </c>
      <c r="B216" s="4">
        <v>3</v>
      </c>
    </row>
    <row r="217" spans="1:2" x14ac:dyDescent="0.3">
      <c r="A217" s="3">
        <v>38.921580365748355</v>
      </c>
      <c r="B217" s="4">
        <v>4</v>
      </c>
    </row>
    <row r="218" spans="1:2" x14ac:dyDescent="0.3">
      <c r="A218" s="3">
        <v>52.977435389664848</v>
      </c>
      <c r="B218" s="4">
        <v>2</v>
      </c>
    </row>
    <row r="219" spans="1:2" x14ac:dyDescent="0.3">
      <c r="A219" s="3">
        <v>42.982105016259759</v>
      </c>
      <c r="B219" s="4">
        <v>4</v>
      </c>
    </row>
    <row r="220" spans="1:2" x14ac:dyDescent="0.3">
      <c r="A220" s="3">
        <v>42.341118347900661</v>
      </c>
      <c r="B220" s="4">
        <v>3</v>
      </c>
    </row>
    <row r="221" spans="1:2" x14ac:dyDescent="0.3">
      <c r="A221" s="3">
        <v>45.30496917157258</v>
      </c>
      <c r="B221" s="4">
        <v>4</v>
      </c>
    </row>
    <row r="222" spans="1:2" x14ac:dyDescent="0.3">
      <c r="A222" s="3">
        <v>30.31469568046424</v>
      </c>
      <c r="B222" s="4">
        <v>4</v>
      </c>
    </row>
    <row r="223" spans="1:2" x14ac:dyDescent="0.3">
      <c r="A223" s="3">
        <v>55.041770270536176</v>
      </c>
      <c r="B223" s="4">
        <v>3</v>
      </c>
    </row>
    <row r="224" spans="1:2" x14ac:dyDescent="0.3">
      <c r="A224" s="3">
        <v>50.464453162353827</v>
      </c>
      <c r="B224" s="4">
        <v>1</v>
      </c>
    </row>
    <row r="225" spans="1:4" x14ac:dyDescent="0.3">
      <c r="A225" s="3">
        <v>25.119860153380209</v>
      </c>
      <c r="B225" s="4">
        <v>1</v>
      </c>
    </row>
    <row r="226" spans="1:4" x14ac:dyDescent="0.3">
      <c r="A226" s="3">
        <v>31.9166175929536</v>
      </c>
      <c r="B226" s="4">
        <v>1</v>
      </c>
    </row>
    <row r="227" spans="1:4" x14ac:dyDescent="0.3">
      <c r="A227" s="3">
        <v>51.227711662954917</v>
      </c>
      <c r="B227" s="4">
        <v>3</v>
      </c>
    </row>
    <row r="228" spans="1:4" x14ac:dyDescent="0.3">
      <c r="A228" s="3">
        <v>47.961934192456617</v>
      </c>
      <c r="B228" s="4">
        <v>3</v>
      </c>
    </row>
    <row r="229" spans="1:4" x14ac:dyDescent="0.3">
      <c r="A229" s="3">
        <v>44.841013550478422</v>
      </c>
      <c r="B229" s="4">
        <v>1</v>
      </c>
    </row>
    <row r="230" spans="1:4" x14ac:dyDescent="0.3">
      <c r="A230" s="3">
        <v>50.724654184845072</v>
      </c>
      <c r="B230" s="4">
        <v>4</v>
      </c>
    </row>
    <row r="231" spans="1:4" x14ac:dyDescent="0.3">
      <c r="A231" s="3">
        <v>53.918781123273078</v>
      </c>
      <c r="B231" s="4">
        <v>4</v>
      </c>
    </row>
    <row r="232" spans="1:4" x14ac:dyDescent="0.3">
      <c r="A232" s="3">
        <v>26.821947460090666</v>
      </c>
      <c r="B232" s="4">
        <v>1</v>
      </c>
    </row>
    <row r="233" spans="1:4" x14ac:dyDescent="0.3">
      <c r="A233" s="3">
        <v>47.770490232046669</v>
      </c>
      <c r="B233" s="4">
        <v>1</v>
      </c>
    </row>
    <row r="234" spans="1:4" x14ac:dyDescent="0.3">
      <c r="A234" s="3">
        <v>46.541696178252757</v>
      </c>
      <c r="B234" s="4">
        <v>2</v>
      </c>
    </row>
    <row r="235" spans="1:4" x14ac:dyDescent="0.3">
      <c r="A235" s="3">
        <v>33.952990635075004</v>
      </c>
      <c r="B235" s="4">
        <v>3</v>
      </c>
    </row>
    <row r="236" spans="1:4" x14ac:dyDescent="0.3">
      <c r="A236" s="3">
        <v>53.807220529591746</v>
      </c>
      <c r="B236" s="4">
        <v>2</v>
      </c>
    </row>
    <row r="237" spans="1:4" x14ac:dyDescent="0.3">
      <c r="A237" s="3">
        <v>54.893907637187425</v>
      </c>
      <c r="B237" s="4">
        <v>3</v>
      </c>
    </row>
    <row r="238" spans="1:4" x14ac:dyDescent="0.3">
      <c r="A238" s="3">
        <v>40.691717562173388</v>
      </c>
      <c r="B238" s="4">
        <v>1</v>
      </c>
    </row>
    <row r="239" spans="1:4" x14ac:dyDescent="0.3">
      <c r="A239" s="3">
        <v>44.558848655838261</v>
      </c>
      <c r="B239" s="4">
        <v>2</v>
      </c>
      <c r="D239" s="6"/>
    </row>
    <row r="240" spans="1:4" x14ac:dyDescent="0.3">
      <c r="A240" s="3">
        <v>33.795463555870263</v>
      </c>
      <c r="B240" s="4">
        <v>1</v>
      </c>
    </row>
    <row r="241" spans="1:2" x14ac:dyDescent="0.3">
      <c r="A241" s="3">
        <v>43.875253645846797</v>
      </c>
      <c r="B241" s="4">
        <v>3</v>
      </c>
    </row>
    <row r="242" spans="1:2" x14ac:dyDescent="0.3">
      <c r="A242" s="3">
        <v>40.91545662786514</v>
      </c>
      <c r="B242" s="4">
        <v>2</v>
      </c>
    </row>
    <row r="243" spans="1:2" x14ac:dyDescent="0.3">
      <c r="A243" s="3">
        <v>46.89853761299856</v>
      </c>
      <c r="B243" s="4">
        <v>4</v>
      </c>
    </row>
    <row r="244" spans="1:2" x14ac:dyDescent="0.3">
      <c r="A244" s="3">
        <v>28.209204177086111</v>
      </c>
      <c r="B244" s="4">
        <v>1</v>
      </c>
    </row>
    <row r="245" spans="1:2" x14ac:dyDescent="0.3">
      <c r="A245" s="3">
        <v>50.700413753268073</v>
      </c>
      <c r="B245" s="4">
        <v>2</v>
      </c>
    </row>
    <row r="246" spans="1:2" x14ac:dyDescent="0.3">
      <c r="A246" s="3">
        <v>42.917618706694725</v>
      </c>
      <c r="B246" s="4">
        <v>4</v>
      </c>
    </row>
    <row r="247" spans="1:2" x14ac:dyDescent="0.3">
      <c r="A247" s="3">
        <v>67.507229752913616</v>
      </c>
      <c r="B247" s="4">
        <v>4</v>
      </c>
    </row>
    <row r="248" spans="1:2" x14ac:dyDescent="0.3">
      <c r="A248" s="3">
        <v>28.345466995209165</v>
      </c>
      <c r="B248" s="4">
        <v>4</v>
      </c>
    </row>
    <row r="249" spans="1:2" x14ac:dyDescent="0.3">
      <c r="A249" s="3">
        <v>45.341733869162809</v>
      </c>
      <c r="B249" s="4">
        <v>1</v>
      </c>
    </row>
    <row r="250" spans="1:2" x14ac:dyDescent="0.3">
      <c r="A250" s="3">
        <v>47.054908588043027</v>
      </c>
      <c r="B250" s="4">
        <v>2</v>
      </c>
    </row>
    <row r="251" spans="1:2" x14ac:dyDescent="0.3">
      <c r="A251" s="3">
        <v>33.804908221881291</v>
      </c>
      <c r="B251" s="4">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08FA-6A26-44B5-BBDF-656E08A69B42}">
  <dimension ref="A1:C251"/>
  <sheetViews>
    <sheetView showGridLines="0" workbookViewId="0">
      <selection activeCell="F4" sqref="F4"/>
    </sheetView>
  </sheetViews>
  <sheetFormatPr defaultRowHeight="14.4" x14ac:dyDescent="0.3"/>
  <cols>
    <col min="3" max="3" width="8.33203125" bestFit="1" customWidth="1"/>
    <col min="7" max="7" width="14.21875" bestFit="1" customWidth="1"/>
  </cols>
  <sheetData>
    <row r="1" spans="1:3" ht="19.8" thickTop="1" thickBot="1" x14ac:dyDescent="0.5">
      <c r="A1" s="5" t="s">
        <v>3</v>
      </c>
      <c r="B1" s="1" t="s">
        <v>4</v>
      </c>
      <c r="C1" s="1" t="s">
        <v>17</v>
      </c>
    </row>
    <row r="2" spans="1:3" ht="15" thickTop="1" x14ac:dyDescent="0.3">
      <c r="A2" s="3">
        <v>74.058080290343867</v>
      </c>
      <c r="B2" s="4">
        <v>1</v>
      </c>
      <c r="C2" s="3">
        <f>IF(B2=1,A2," ")</f>
        <v>74.058080290343867</v>
      </c>
    </row>
    <row r="3" spans="1:3" x14ac:dyDescent="0.3">
      <c r="A3" s="3">
        <v>45.855600005028116</v>
      </c>
      <c r="B3" s="4">
        <v>4</v>
      </c>
      <c r="C3" s="3" t="str">
        <f t="shared" ref="C3:C66" si="0">IF(B3=1,A3," ")</f>
        <v xml:space="preserve"> </v>
      </c>
    </row>
    <row r="4" spans="1:3" x14ac:dyDescent="0.3">
      <c r="A4" s="3">
        <v>34.523502807390379</v>
      </c>
      <c r="B4" s="4">
        <v>2</v>
      </c>
      <c r="C4" s="3" t="str">
        <f t="shared" si="0"/>
        <v xml:space="preserve"> </v>
      </c>
    </row>
    <row r="5" spans="1:3" x14ac:dyDescent="0.3">
      <c r="A5" s="3">
        <v>52.515911656356124</v>
      </c>
      <c r="B5" s="4">
        <v>4</v>
      </c>
      <c r="C5" s="3" t="str">
        <f t="shared" si="0"/>
        <v xml:space="preserve"> </v>
      </c>
    </row>
    <row r="6" spans="1:3" x14ac:dyDescent="0.3">
      <c r="A6" s="3">
        <v>40.413290269624369</v>
      </c>
      <c r="B6" s="4">
        <v>4</v>
      </c>
      <c r="C6" s="3" t="str">
        <f t="shared" si="0"/>
        <v xml:space="preserve"> </v>
      </c>
    </row>
    <row r="7" spans="1:3" x14ac:dyDescent="0.3">
      <c r="A7" s="3">
        <v>43.144038245030259</v>
      </c>
      <c r="B7" s="4">
        <v>3</v>
      </c>
      <c r="C7" s="3" t="str">
        <f t="shared" si="0"/>
        <v xml:space="preserve"> </v>
      </c>
    </row>
    <row r="8" spans="1:3" x14ac:dyDescent="0.3">
      <c r="A8" s="3">
        <v>41.653946284381831</v>
      </c>
      <c r="B8" s="4">
        <v>2</v>
      </c>
      <c r="C8" s="3" t="str">
        <f t="shared" si="0"/>
        <v xml:space="preserve"> </v>
      </c>
    </row>
    <row r="9" spans="1:3" x14ac:dyDescent="0.3">
      <c r="A9" s="3">
        <v>30.734545292686633</v>
      </c>
      <c r="B9" s="4">
        <v>3</v>
      </c>
      <c r="C9" s="3" t="str">
        <f t="shared" si="0"/>
        <v xml:space="preserve"> </v>
      </c>
    </row>
    <row r="10" spans="1:3" x14ac:dyDescent="0.3">
      <c r="A10" s="3">
        <v>35.699452365744769</v>
      </c>
      <c r="B10" s="4">
        <v>2</v>
      </c>
      <c r="C10" s="3" t="str">
        <f t="shared" si="0"/>
        <v xml:space="preserve"> </v>
      </c>
    </row>
    <row r="11" spans="1:3" x14ac:dyDescent="0.3">
      <c r="A11" s="3">
        <v>62.257854329434409</v>
      </c>
      <c r="B11" s="4">
        <v>2</v>
      </c>
      <c r="C11" s="3" t="str">
        <f t="shared" si="0"/>
        <v xml:space="preserve"> </v>
      </c>
    </row>
    <row r="12" spans="1:3" x14ac:dyDescent="0.3">
      <c r="A12" s="3">
        <v>49.096229773273095</v>
      </c>
      <c r="B12" s="4">
        <v>2</v>
      </c>
      <c r="C12" s="3" t="str">
        <f t="shared" si="0"/>
        <v xml:space="preserve"> </v>
      </c>
    </row>
    <row r="13" spans="1:3" x14ac:dyDescent="0.3">
      <c r="A13" s="3">
        <v>29.089783606612798</v>
      </c>
      <c r="B13" s="4">
        <v>4</v>
      </c>
      <c r="C13" s="3" t="str">
        <f t="shared" si="0"/>
        <v xml:space="preserve"> </v>
      </c>
    </row>
    <row r="14" spans="1:3" x14ac:dyDescent="0.3">
      <c r="A14" s="3">
        <v>36.060628133426519</v>
      </c>
      <c r="B14" s="4">
        <v>2</v>
      </c>
      <c r="C14" s="3" t="str">
        <f t="shared" si="0"/>
        <v xml:space="preserve"> </v>
      </c>
    </row>
    <row r="15" spans="1:3" x14ac:dyDescent="0.3">
      <c r="A15" s="3">
        <v>41.264322093905861</v>
      </c>
      <c r="B15" s="4">
        <v>1</v>
      </c>
      <c r="C15" s="3">
        <f t="shared" si="0"/>
        <v>41.264322093905861</v>
      </c>
    </row>
    <row r="16" spans="1:3" x14ac:dyDescent="0.3">
      <c r="A16" s="3">
        <v>45.299759464632615</v>
      </c>
      <c r="B16" s="4">
        <v>4</v>
      </c>
      <c r="C16" s="3" t="str">
        <f t="shared" si="0"/>
        <v xml:space="preserve"> </v>
      </c>
    </row>
    <row r="17" spans="1:3" x14ac:dyDescent="0.3">
      <c r="A17" s="3">
        <v>49.479909004156909</v>
      </c>
      <c r="B17" s="4">
        <v>2</v>
      </c>
      <c r="C17" s="3" t="str">
        <f t="shared" si="0"/>
        <v xml:space="preserve"> </v>
      </c>
    </row>
    <row r="18" spans="1:3" x14ac:dyDescent="0.3">
      <c r="A18" s="3">
        <v>55.229357158685289</v>
      </c>
      <c r="B18" s="4">
        <v>2</v>
      </c>
      <c r="C18" s="3" t="str">
        <f t="shared" si="0"/>
        <v xml:space="preserve"> </v>
      </c>
    </row>
    <row r="19" spans="1:3" x14ac:dyDescent="0.3">
      <c r="A19" s="3">
        <v>38.535486337946118</v>
      </c>
      <c r="B19" s="4">
        <v>2</v>
      </c>
      <c r="C19" s="3" t="str">
        <f t="shared" si="0"/>
        <v xml:space="preserve"> </v>
      </c>
    </row>
    <row r="20" spans="1:3" x14ac:dyDescent="0.3">
      <c r="A20" s="3">
        <v>47.419484673348954</v>
      </c>
      <c r="B20" s="4">
        <v>1</v>
      </c>
      <c r="C20" s="3">
        <f t="shared" si="0"/>
        <v>47.419484673348954</v>
      </c>
    </row>
    <row r="21" spans="1:3" x14ac:dyDescent="0.3">
      <c r="A21" s="3">
        <v>45.633559721766382</v>
      </c>
      <c r="B21" s="4">
        <v>3</v>
      </c>
      <c r="C21" s="3" t="str">
        <f t="shared" si="0"/>
        <v xml:space="preserve"> </v>
      </c>
    </row>
    <row r="22" spans="1:3" x14ac:dyDescent="0.3">
      <c r="A22" s="3">
        <v>47.253946575032806</v>
      </c>
      <c r="B22" s="4">
        <v>2</v>
      </c>
      <c r="C22" s="3" t="str">
        <f t="shared" si="0"/>
        <v xml:space="preserve"> </v>
      </c>
    </row>
    <row r="23" spans="1:3" x14ac:dyDescent="0.3">
      <c r="A23" s="3">
        <v>49.015228626731385</v>
      </c>
      <c r="B23" s="4">
        <v>3</v>
      </c>
      <c r="C23" s="3" t="str">
        <f t="shared" si="0"/>
        <v xml:space="preserve"> </v>
      </c>
    </row>
    <row r="24" spans="1:3" x14ac:dyDescent="0.3">
      <c r="A24" s="3">
        <v>57.955751199188853</v>
      </c>
      <c r="B24" s="4">
        <v>2</v>
      </c>
      <c r="C24" s="3" t="str">
        <f t="shared" si="0"/>
        <v xml:space="preserve"> </v>
      </c>
    </row>
    <row r="25" spans="1:3" x14ac:dyDescent="0.3">
      <c r="A25" s="3">
        <v>29.42739551308506</v>
      </c>
      <c r="B25" s="4">
        <v>3</v>
      </c>
      <c r="C25" s="3" t="str">
        <f t="shared" si="0"/>
        <v xml:space="preserve"> </v>
      </c>
    </row>
    <row r="26" spans="1:3" x14ac:dyDescent="0.3">
      <c r="A26" s="3">
        <v>44.539427805401246</v>
      </c>
      <c r="B26" s="4">
        <v>1</v>
      </c>
      <c r="C26" s="3">
        <f t="shared" si="0"/>
        <v>44.539427805401246</v>
      </c>
    </row>
    <row r="27" spans="1:3" x14ac:dyDescent="0.3">
      <c r="A27" s="3">
        <v>43.208011954160561</v>
      </c>
      <c r="B27" s="4">
        <v>2</v>
      </c>
      <c r="C27" s="3" t="str">
        <f t="shared" si="0"/>
        <v xml:space="preserve"> </v>
      </c>
    </row>
    <row r="28" spans="1:3" x14ac:dyDescent="0.3">
      <c r="A28" s="3">
        <v>34.023788464046049</v>
      </c>
      <c r="B28" s="4">
        <v>4</v>
      </c>
      <c r="C28" s="3" t="str">
        <f t="shared" si="0"/>
        <v xml:space="preserve"> </v>
      </c>
    </row>
    <row r="29" spans="1:3" x14ac:dyDescent="0.3">
      <c r="A29" s="3">
        <v>15.732944733991832</v>
      </c>
      <c r="B29" s="4">
        <v>3</v>
      </c>
      <c r="C29" s="3" t="str">
        <f t="shared" si="0"/>
        <v xml:space="preserve"> </v>
      </c>
    </row>
    <row r="30" spans="1:3" x14ac:dyDescent="0.3">
      <c r="A30" s="3">
        <v>38.322041337350541</v>
      </c>
      <c r="B30" s="4">
        <v>1</v>
      </c>
      <c r="C30" s="3">
        <f t="shared" si="0"/>
        <v>38.322041337350541</v>
      </c>
    </row>
    <row r="31" spans="1:3" x14ac:dyDescent="0.3">
      <c r="A31" s="3">
        <v>38.585831865598969</v>
      </c>
      <c r="B31" s="4">
        <v>4</v>
      </c>
      <c r="C31" s="3" t="str">
        <f t="shared" si="0"/>
        <v xml:space="preserve"> </v>
      </c>
    </row>
    <row r="32" spans="1:3" x14ac:dyDescent="0.3">
      <c r="A32" s="3">
        <v>46.400955943840358</v>
      </c>
      <c r="B32" s="4">
        <v>1</v>
      </c>
      <c r="C32" s="3">
        <f t="shared" si="0"/>
        <v>46.400955943840358</v>
      </c>
    </row>
    <row r="33" spans="1:3" x14ac:dyDescent="0.3">
      <c r="A33" s="3">
        <v>42.745532833425351</v>
      </c>
      <c r="B33" s="4">
        <v>4</v>
      </c>
      <c r="C33" s="3" t="str">
        <f t="shared" si="0"/>
        <v xml:space="preserve"> </v>
      </c>
    </row>
    <row r="34" spans="1:3" x14ac:dyDescent="0.3">
      <c r="A34" s="3">
        <v>47.259858856446407</v>
      </c>
      <c r="B34" s="4">
        <v>1</v>
      </c>
      <c r="C34" s="3">
        <f t="shared" si="0"/>
        <v>47.259858856446407</v>
      </c>
    </row>
    <row r="35" spans="1:3" x14ac:dyDescent="0.3">
      <c r="A35" s="3">
        <v>26.783504447135488</v>
      </c>
      <c r="B35" s="4">
        <v>1</v>
      </c>
      <c r="C35" s="3">
        <f t="shared" si="0"/>
        <v>26.783504447135488</v>
      </c>
    </row>
    <row r="36" spans="1:3" x14ac:dyDescent="0.3">
      <c r="A36" s="3">
        <v>54.932002867977161</v>
      </c>
      <c r="B36" s="4">
        <v>2</v>
      </c>
      <c r="C36" s="3" t="str">
        <f t="shared" si="0"/>
        <v xml:space="preserve"> </v>
      </c>
    </row>
    <row r="37" spans="1:3" x14ac:dyDescent="0.3">
      <c r="A37" s="3">
        <v>29.313344490933702</v>
      </c>
      <c r="B37" s="4">
        <v>4</v>
      </c>
      <c r="C37" s="3" t="str">
        <f t="shared" si="0"/>
        <v xml:space="preserve"> </v>
      </c>
    </row>
    <row r="38" spans="1:3" x14ac:dyDescent="0.3">
      <c r="A38" s="3">
        <v>38.298057013364549</v>
      </c>
      <c r="B38" s="4">
        <v>1</v>
      </c>
      <c r="C38" s="3">
        <f t="shared" si="0"/>
        <v>38.298057013364549</v>
      </c>
    </row>
    <row r="39" spans="1:3" x14ac:dyDescent="0.3">
      <c r="A39" s="3">
        <v>33.39812826578877</v>
      </c>
      <c r="B39" s="4">
        <v>1</v>
      </c>
      <c r="C39" s="3">
        <f t="shared" si="0"/>
        <v>33.39812826578877</v>
      </c>
    </row>
    <row r="40" spans="1:3" x14ac:dyDescent="0.3">
      <c r="A40" s="3">
        <v>38.7555728034501</v>
      </c>
      <c r="B40" s="4">
        <v>4</v>
      </c>
      <c r="C40" s="3" t="str">
        <f t="shared" si="0"/>
        <v xml:space="preserve"> </v>
      </c>
    </row>
    <row r="41" spans="1:3" x14ac:dyDescent="0.3">
      <c r="A41" s="3">
        <v>35.941088039467978</v>
      </c>
      <c r="B41" s="4">
        <v>2</v>
      </c>
      <c r="C41" s="3" t="str">
        <f t="shared" si="0"/>
        <v xml:space="preserve"> </v>
      </c>
    </row>
    <row r="42" spans="1:3" x14ac:dyDescent="0.3">
      <c r="A42" s="3">
        <v>41.45297480652733</v>
      </c>
      <c r="B42" s="4">
        <v>4</v>
      </c>
      <c r="C42" s="3" t="str">
        <f t="shared" si="0"/>
        <v xml:space="preserve"> </v>
      </c>
    </row>
    <row r="43" spans="1:3" x14ac:dyDescent="0.3">
      <c r="A43" s="3">
        <v>41.609207673439123</v>
      </c>
      <c r="B43" s="4">
        <v>3</v>
      </c>
      <c r="C43" s="3" t="str">
        <f t="shared" si="0"/>
        <v xml:space="preserve"> </v>
      </c>
    </row>
    <row r="44" spans="1:3" x14ac:dyDescent="0.3">
      <c r="A44" s="3">
        <v>56.969019568229214</v>
      </c>
      <c r="B44" s="4">
        <v>4</v>
      </c>
      <c r="C44" s="3" t="str">
        <f t="shared" si="0"/>
        <v xml:space="preserve"> </v>
      </c>
    </row>
    <row r="45" spans="1:3" x14ac:dyDescent="0.3">
      <c r="A45" s="3">
        <v>45.358943540650955</v>
      </c>
      <c r="B45" s="4">
        <v>1</v>
      </c>
      <c r="C45" s="3">
        <f t="shared" si="0"/>
        <v>45.358943540650955</v>
      </c>
    </row>
    <row r="46" spans="1:3" x14ac:dyDescent="0.3">
      <c r="A46" s="3">
        <v>50.632620297160514</v>
      </c>
      <c r="B46" s="4">
        <v>1</v>
      </c>
      <c r="C46" s="3">
        <f t="shared" si="0"/>
        <v>50.632620297160514</v>
      </c>
    </row>
    <row r="47" spans="1:3" x14ac:dyDescent="0.3">
      <c r="A47" s="3">
        <v>31.422227409123785</v>
      </c>
      <c r="B47" s="4">
        <v>1</v>
      </c>
      <c r="C47" s="3">
        <f t="shared" si="0"/>
        <v>31.422227409123785</v>
      </c>
    </row>
    <row r="48" spans="1:3" x14ac:dyDescent="0.3">
      <c r="A48" s="3">
        <v>50.919600813193775</v>
      </c>
      <c r="B48" s="4">
        <v>2</v>
      </c>
      <c r="C48" s="3" t="str">
        <f t="shared" si="0"/>
        <v xml:space="preserve"> </v>
      </c>
    </row>
    <row r="49" spans="1:3" x14ac:dyDescent="0.3">
      <c r="A49" s="3">
        <v>34.350794416318848</v>
      </c>
      <c r="B49" s="4">
        <v>3</v>
      </c>
      <c r="C49" s="3" t="str">
        <f t="shared" si="0"/>
        <v xml:space="preserve"> </v>
      </c>
    </row>
    <row r="50" spans="1:3" x14ac:dyDescent="0.3">
      <c r="A50" s="3">
        <v>61.623498775860753</v>
      </c>
      <c r="B50" s="4">
        <v>3</v>
      </c>
      <c r="C50" s="3" t="str">
        <f t="shared" si="0"/>
        <v xml:space="preserve"> </v>
      </c>
    </row>
    <row r="51" spans="1:3" x14ac:dyDescent="0.3">
      <c r="A51" s="3">
        <v>46.91704461010734</v>
      </c>
      <c r="B51" s="4">
        <v>2</v>
      </c>
      <c r="C51" s="3" t="str">
        <f t="shared" si="0"/>
        <v xml:space="preserve"> </v>
      </c>
    </row>
    <row r="52" spans="1:3" x14ac:dyDescent="0.3">
      <c r="A52" s="3">
        <v>44.498217430330328</v>
      </c>
      <c r="B52" s="4">
        <v>2</v>
      </c>
      <c r="C52" s="3" t="str">
        <f t="shared" si="0"/>
        <v xml:space="preserve"> </v>
      </c>
    </row>
    <row r="53" spans="1:3" x14ac:dyDescent="0.3">
      <c r="A53" s="3">
        <v>36.564925735469046</v>
      </c>
      <c r="B53" s="4">
        <v>4</v>
      </c>
      <c r="C53" s="3" t="str">
        <f t="shared" si="0"/>
        <v xml:space="preserve"> </v>
      </c>
    </row>
    <row r="54" spans="1:3" x14ac:dyDescent="0.3">
      <c r="A54" s="3">
        <v>31.599095886836952</v>
      </c>
      <c r="B54" s="4">
        <v>3</v>
      </c>
      <c r="C54" s="3" t="str">
        <f t="shared" si="0"/>
        <v xml:space="preserve"> </v>
      </c>
    </row>
    <row r="55" spans="1:3" x14ac:dyDescent="0.3">
      <c r="A55" s="3">
        <v>14.141183699400901</v>
      </c>
      <c r="B55" s="4">
        <v>3</v>
      </c>
      <c r="C55" s="3" t="str">
        <f t="shared" si="0"/>
        <v xml:space="preserve"> </v>
      </c>
    </row>
    <row r="56" spans="1:3" x14ac:dyDescent="0.3">
      <c r="A56" s="3">
        <v>30.262426460063544</v>
      </c>
      <c r="B56" s="4">
        <v>3</v>
      </c>
      <c r="C56" s="3" t="str">
        <f t="shared" si="0"/>
        <v xml:space="preserve"> </v>
      </c>
    </row>
    <row r="57" spans="1:3" x14ac:dyDescent="0.3">
      <c r="A57" s="3">
        <v>46.13384759254685</v>
      </c>
      <c r="B57" s="4">
        <v>4</v>
      </c>
      <c r="C57" s="3" t="str">
        <f t="shared" si="0"/>
        <v xml:space="preserve"> </v>
      </c>
    </row>
    <row r="58" spans="1:3" x14ac:dyDescent="0.3">
      <c r="A58" s="3">
        <v>34.396373640534406</v>
      </c>
      <c r="B58" s="4">
        <v>2</v>
      </c>
      <c r="C58" s="3" t="str">
        <f t="shared" si="0"/>
        <v xml:space="preserve"> </v>
      </c>
    </row>
    <row r="59" spans="1:3" x14ac:dyDescent="0.3">
      <c r="A59" s="3">
        <v>55.631031157596432</v>
      </c>
      <c r="B59" s="4">
        <v>2</v>
      </c>
      <c r="C59" s="3" t="str">
        <f t="shared" si="0"/>
        <v xml:space="preserve"> </v>
      </c>
    </row>
    <row r="60" spans="1:3" x14ac:dyDescent="0.3">
      <c r="A60" s="3">
        <v>48.337255076394158</v>
      </c>
      <c r="B60" s="4">
        <v>4</v>
      </c>
      <c r="C60" s="3" t="str">
        <f t="shared" si="0"/>
        <v xml:space="preserve"> </v>
      </c>
    </row>
    <row r="61" spans="1:3" x14ac:dyDescent="0.3">
      <c r="A61" s="3">
        <v>44.758018171337334</v>
      </c>
      <c r="B61" s="4">
        <v>1</v>
      </c>
      <c r="C61" s="3">
        <f t="shared" si="0"/>
        <v>44.758018171337334</v>
      </c>
    </row>
    <row r="62" spans="1:3" x14ac:dyDescent="0.3">
      <c r="A62" s="3">
        <v>47.075945959678648</v>
      </c>
      <c r="B62" s="4">
        <v>3</v>
      </c>
      <c r="C62" s="3" t="str">
        <f t="shared" si="0"/>
        <v xml:space="preserve"> </v>
      </c>
    </row>
    <row r="63" spans="1:3" x14ac:dyDescent="0.3">
      <c r="A63" s="3">
        <v>14.907961146111912</v>
      </c>
      <c r="B63" s="4">
        <v>2</v>
      </c>
      <c r="C63" s="3" t="str">
        <f t="shared" si="0"/>
        <v xml:space="preserve"> </v>
      </c>
    </row>
    <row r="64" spans="1:3" x14ac:dyDescent="0.3">
      <c r="A64" s="3">
        <v>55.775016580361566</v>
      </c>
      <c r="B64" s="4">
        <v>1</v>
      </c>
      <c r="C64" s="3">
        <f t="shared" si="0"/>
        <v>55.775016580361566</v>
      </c>
    </row>
    <row r="65" spans="1:3" x14ac:dyDescent="0.3">
      <c r="A65" s="3">
        <v>43.945589355818704</v>
      </c>
      <c r="B65" s="4">
        <v>4</v>
      </c>
      <c r="C65" s="3" t="str">
        <f t="shared" si="0"/>
        <v xml:space="preserve"> </v>
      </c>
    </row>
    <row r="66" spans="1:3" x14ac:dyDescent="0.3">
      <c r="A66" s="3">
        <v>27.92490461327613</v>
      </c>
      <c r="B66" s="4">
        <v>3</v>
      </c>
      <c r="C66" s="3" t="str">
        <f t="shared" si="0"/>
        <v xml:space="preserve"> </v>
      </c>
    </row>
    <row r="67" spans="1:3" x14ac:dyDescent="0.3">
      <c r="A67" s="3">
        <v>29.776864623830299</v>
      </c>
      <c r="B67" s="4">
        <v>4</v>
      </c>
      <c r="C67" s="3" t="str">
        <f t="shared" ref="C67:C130" si="1">IF(B67=1,A67," ")</f>
        <v xml:space="preserve"> </v>
      </c>
    </row>
    <row r="68" spans="1:3" x14ac:dyDescent="0.3">
      <c r="A68" s="3">
        <v>41.603346332061605</v>
      </c>
      <c r="B68" s="4">
        <v>3</v>
      </c>
      <c r="C68" s="3" t="str">
        <f t="shared" si="1"/>
        <v xml:space="preserve"> </v>
      </c>
    </row>
    <row r="69" spans="1:3" x14ac:dyDescent="0.3">
      <c r="A69" s="3">
        <v>66.342004141765216</v>
      </c>
      <c r="B69" s="4">
        <v>3</v>
      </c>
      <c r="C69" s="3" t="str">
        <f t="shared" si="1"/>
        <v xml:space="preserve"> </v>
      </c>
    </row>
    <row r="70" spans="1:3" x14ac:dyDescent="0.3">
      <c r="A70" s="3">
        <v>39.81654616922355</v>
      </c>
      <c r="B70" s="4">
        <v>4</v>
      </c>
      <c r="C70" s="3" t="str">
        <f t="shared" si="1"/>
        <v xml:space="preserve"> </v>
      </c>
    </row>
    <row r="71" spans="1:3" x14ac:dyDescent="0.3">
      <c r="A71" s="3">
        <v>47.539830032614702</v>
      </c>
      <c r="B71" s="4">
        <v>1</v>
      </c>
      <c r="C71" s="3">
        <f t="shared" si="1"/>
        <v>47.539830032614702</v>
      </c>
    </row>
    <row r="72" spans="1:3" x14ac:dyDescent="0.3">
      <c r="A72" s="3">
        <v>58.843201828261954</v>
      </c>
      <c r="B72" s="4">
        <v>3</v>
      </c>
      <c r="C72" s="3" t="str">
        <f t="shared" si="1"/>
        <v xml:space="preserve"> </v>
      </c>
    </row>
    <row r="73" spans="1:3" x14ac:dyDescent="0.3">
      <c r="A73" s="3">
        <v>41.755300372804022</v>
      </c>
      <c r="B73" s="4">
        <v>1</v>
      </c>
      <c r="C73" s="3">
        <f t="shared" si="1"/>
        <v>41.755300372804022</v>
      </c>
    </row>
    <row r="74" spans="1:3" x14ac:dyDescent="0.3">
      <c r="A74" s="3">
        <v>45.938078700596044</v>
      </c>
      <c r="B74" s="4">
        <v>4</v>
      </c>
      <c r="C74" s="3" t="str">
        <f t="shared" si="1"/>
        <v xml:space="preserve"> </v>
      </c>
    </row>
    <row r="75" spans="1:3" x14ac:dyDescent="0.3">
      <c r="A75" s="3">
        <v>46.163168773755615</v>
      </c>
      <c r="B75" s="4">
        <v>1</v>
      </c>
      <c r="C75" s="3">
        <f t="shared" si="1"/>
        <v>46.163168773755615</v>
      </c>
    </row>
    <row r="76" spans="1:3" x14ac:dyDescent="0.3">
      <c r="A76" s="3">
        <v>33.483962352147778</v>
      </c>
      <c r="B76" s="4">
        <v>4</v>
      </c>
      <c r="C76" s="3" t="str">
        <f t="shared" si="1"/>
        <v xml:space="preserve"> </v>
      </c>
    </row>
    <row r="77" spans="1:3" x14ac:dyDescent="0.3">
      <c r="A77" s="3">
        <v>47.7028570145904</v>
      </c>
      <c r="B77" s="4">
        <v>2</v>
      </c>
      <c r="C77" s="3" t="str">
        <f t="shared" si="1"/>
        <v xml:space="preserve"> </v>
      </c>
    </row>
    <row r="78" spans="1:3" x14ac:dyDescent="0.3">
      <c r="A78" s="3">
        <v>43.655045755970136</v>
      </c>
      <c r="B78" s="4">
        <v>4</v>
      </c>
      <c r="C78" s="3" t="str">
        <f t="shared" si="1"/>
        <v xml:space="preserve"> </v>
      </c>
    </row>
    <row r="79" spans="1:3" x14ac:dyDescent="0.3">
      <c r="A79" s="3">
        <v>38.459784385244852</v>
      </c>
      <c r="B79" s="4">
        <v>3</v>
      </c>
      <c r="C79" s="3" t="str">
        <f t="shared" si="1"/>
        <v xml:space="preserve"> </v>
      </c>
    </row>
    <row r="80" spans="1:3" x14ac:dyDescent="0.3">
      <c r="A80" s="3">
        <v>46.136788585204464</v>
      </c>
      <c r="B80" s="4">
        <v>1</v>
      </c>
      <c r="C80" s="3">
        <f t="shared" si="1"/>
        <v>46.136788585204464</v>
      </c>
    </row>
    <row r="81" spans="1:3" x14ac:dyDescent="0.3">
      <c r="A81" s="3">
        <v>57.167625279304289</v>
      </c>
      <c r="B81" s="4">
        <v>1</v>
      </c>
      <c r="C81" s="3">
        <f t="shared" si="1"/>
        <v>57.167625279304289</v>
      </c>
    </row>
    <row r="82" spans="1:3" x14ac:dyDescent="0.3">
      <c r="A82" s="3">
        <v>45.603923047657197</v>
      </c>
      <c r="B82" s="4">
        <v>2</v>
      </c>
      <c r="C82" s="3" t="str">
        <f t="shared" si="1"/>
        <v xml:space="preserve"> </v>
      </c>
    </row>
    <row r="83" spans="1:3" x14ac:dyDescent="0.3">
      <c r="A83" s="3">
        <v>51.152828613762608</v>
      </c>
      <c r="B83" s="4">
        <v>4</v>
      </c>
      <c r="C83" s="3" t="str">
        <f t="shared" si="1"/>
        <v xml:space="preserve"> </v>
      </c>
    </row>
    <row r="84" spans="1:3" x14ac:dyDescent="0.3">
      <c r="A84" s="3">
        <v>45.807149417815964</v>
      </c>
      <c r="B84" s="4">
        <v>1</v>
      </c>
      <c r="C84" s="3">
        <f t="shared" si="1"/>
        <v>45.807149417815964</v>
      </c>
    </row>
    <row r="85" spans="1:3" x14ac:dyDescent="0.3">
      <c r="A85" s="3">
        <v>56.233199664773423</v>
      </c>
      <c r="B85" s="4">
        <v>4</v>
      </c>
      <c r="C85" s="3" t="str">
        <f t="shared" si="1"/>
        <v xml:space="preserve"> </v>
      </c>
    </row>
    <row r="86" spans="1:3" x14ac:dyDescent="0.3">
      <c r="A86" s="3">
        <v>49.950731790454952</v>
      </c>
      <c r="B86" s="4">
        <v>3</v>
      </c>
      <c r="C86" s="3" t="str">
        <f t="shared" si="1"/>
        <v xml:space="preserve"> </v>
      </c>
    </row>
    <row r="87" spans="1:3" x14ac:dyDescent="0.3">
      <c r="A87" s="3">
        <v>27.58963098667888</v>
      </c>
      <c r="B87" s="4">
        <v>3</v>
      </c>
      <c r="C87" s="3" t="str">
        <f t="shared" si="1"/>
        <v xml:space="preserve"> </v>
      </c>
    </row>
    <row r="88" spans="1:3" x14ac:dyDescent="0.3">
      <c r="A88" s="3">
        <v>30.09610773717711</v>
      </c>
      <c r="B88" s="4">
        <v>3</v>
      </c>
      <c r="C88" s="3" t="str">
        <f t="shared" si="1"/>
        <v xml:space="preserve"> </v>
      </c>
    </row>
    <row r="89" spans="1:3" x14ac:dyDescent="0.3">
      <c r="A89" s="3">
        <v>47.466336478172479</v>
      </c>
      <c r="B89" s="4">
        <v>4</v>
      </c>
      <c r="C89" s="3" t="str">
        <f t="shared" si="1"/>
        <v xml:space="preserve"> </v>
      </c>
    </row>
    <row r="90" spans="1:3" x14ac:dyDescent="0.3">
      <c r="A90" s="3">
        <v>54.417109697371473</v>
      </c>
      <c r="B90" s="4">
        <v>1</v>
      </c>
      <c r="C90" s="3">
        <f t="shared" si="1"/>
        <v>54.417109697371473</v>
      </c>
    </row>
    <row r="91" spans="1:3" x14ac:dyDescent="0.3">
      <c r="A91" s="3">
        <v>40.17081031181813</v>
      </c>
      <c r="B91" s="4">
        <v>2</v>
      </c>
      <c r="C91" s="3" t="str">
        <f t="shared" si="1"/>
        <v xml:space="preserve"> </v>
      </c>
    </row>
    <row r="92" spans="1:3" x14ac:dyDescent="0.3">
      <c r="A92" s="3">
        <v>43.03187594024115</v>
      </c>
      <c r="B92" s="4">
        <v>3</v>
      </c>
      <c r="C92" s="3" t="str">
        <f t="shared" si="1"/>
        <v xml:space="preserve"> </v>
      </c>
    </row>
    <row r="93" spans="1:3" x14ac:dyDescent="0.3">
      <c r="A93" s="3">
        <v>58.511705183655344</v>
      </c>
      <c r="B93" s="4">
        <v>2</v>
      </c>
      <c r="C93" s="3" t="str">
        <f t="shared" si="1"/>
        <v xml:space="preserve"> </v>
      </c>
    </row>
    <row r="94" spans="1:3" x14ac:dyDescent="0.3">
      <c r="A94" s="3">
        <v>51.434196156658516</v>
      </c>
      <c r="B94" s="4">
        <v>4</v>
      </c>
      <c r="C94" s="3" t="str">
        <f t="shared" si="1"/>
        <v xml:space="preserve"> </v>
      </c>
    </row>
    <row r="95" spans="1:3" x14ac:dyDescent="0.3">
      <c r="A95" s="3">
        <v>22.795715125199802</v>
      </c>
      <c r="B95" s="4">
        <v>1</v>
      </c>
      <c r="C95" s="3">
        <f t="shared" si="1"/>
        <v>22.795715125199802</v>
      </c>
    </row>
    <row r="96" spans="1:3" x14ac:dyDescent="0.3">
      <c r="A96" s="3">
        <v>51.322420948643284</v>
      </c>
      <c r="B96" s="4">
        <v>4</v>
      </c>
      <c r="C96" s="3" t="str">
        <f t="shared" si="1"/>
        <v xml:space="preserve"> </v>
      </c>
    </row>
    <row r="97" spans="1:3" x14ac:dyDescent="0.3">
      <c r="A97" s="3">
        <v>57.78742516011954</v>
      </c>
      <c r="B97" s="4">
        <v>2</v>
      </c>
      <c r="C97" s="3" t="str">
        <f t="shared" si="1"/>
        <v xml:space="preserve"> </v>
      </c>
    </row>
    <row r="98" spans="1:3" x14ac:dyDescent="0.3">
      <c r="A98" s="3">
        <v>47.065535987975778</v>
      </c>
      <c r="B98" s="4">
        <v>1</v>
      </c>
      <c r="C98" s="3">
        <f t="shared" si="1"/>
        <v>47.065535987975778</v>
      </c>
    </row>
    <row r="99" spans="1:3" x14ac:dyDescent="0.3">
      <c r="A99" s="3">
        <v>39.383543215057784</v>
      </c>
      <c r="B99" s="4">
        <v>3</v>
      </c>
      <c r="C99" s="3" t="str">
        <f t="shared" si="1"/>
        <v xml:space="preserve"> </v>
      </c>
    </row>
    <row r="100" spans="1:3" x14ac:dyDescent="0.3">
      <c r="A100" s="3">
        <v>38.913860242410195</v>
      </c>
      <c r="B100" s="4">
        <v>1</v>
      </c>
      <c r="C100" s="3">
        <f t="shared" si="1"/>
        <v>38.913860242410195</v>
      </c>
    </row>
    <row r="101" spans="1:3" x14ac:dyDescent="0.3">
      <c r="A101" s="3">
        <v>42.784485159089797</v>
      </c>
      <c r="B101" s="4">
        <v>2</v>
      </c>
      <c r="C101" s="3" t="str">
        <f t="shared" si="1"/>
        <v xml:space="preserve"> </v>
      </c>
    </row>
    <row r="102" spans="1:3" x14ac:dyDescent="0.3">
      <c r="A102" s="3">
        <v>40.27514638035062</v>
      </c>
      <c r="B102" s="4">
        <v>1</v>
      </c>
      <c r="C102" s="3">
        <f t="shared" si="1"/>
        <v>40.27514638035062</v>
      </c>
    </row>
    <row r="103" spans="1:3" x14ac:dyDescent="0.3">
      <c r="A103" s="3">
        <v>31.913511535353514</v>
      </c>
      <c r="B103" s="4">
        <v>3</v>
      </c>
      <c r="C103" s="3" t="str">
        <f t="shared" si="1"/>
        <v xml:space="preserve"> </v>
      </c>
    </row>
    <row r="104" spans="1:3" x14ac:dyDescent="0.3">
      <c r="A104" s="3">
        <v>64.919722738413611</v>
      </c>
      <c r="B104" s="4">
        <v>3</v>
      </c>
      <c r="C104" s="3" t="str">
        <f t="shared" si="1"/>
        <v xml:space="preserve"> </v>
      </c>
    </row>
    <row r="105" spans="1:3" x14ac:dyDescent="0.3">
      <c r="A105" s="3">
        <v>55.270074178525491</v>
      </c>
      <c r="B105" s="4">
        <v>3</v>
      </c>
      <c r="C105" s="3" t="str">
        <f t="shared" si="1"/>
        <v xml:space="preserve"> </v>
      </c>
    </row>
    <row r="106" spans="1:3" x14ac:dyDescent="0.3">
      <c r="A106" s="3">
        <v>46.295952087315186</v>
      </c>
      <c r="B106" s="4">
        <v>1</v>
      </c>
      <c r="C106" s="3">
        <f t="shared" si="1"/>
        <v>46.295952087315186</v>
      </c>
    </row>
    <row r="107" spans="1:3" x14ac:dyDescent="0.3">
      <c r="A107" s="3">
        <v>52.951138315682144</v>
      </c>
      <c r="B107" s="4">
        <v>4</v>
      </c>
      <c r="C107" s="3" t="str">
        <f t="shared" si="1"/>
        <v xml:space="preserve"> </v>
      </c>
    </row>
    <row r="108" spans="1:3" x14ac:dyDescent="0.3">
      <c r="A108" s="3">
        <v>33.570986580570285</v>
      </c>
      <c r="B108" s="4">
        <v>2</v>
      </c>
      <c r="C108" s="3" t="str">
        <f t="shared" si="1"/>
        <v xml:space="preserve"> </v>
      </c>
    </row>
    <row r="109" spans="1:3" x14ac:dyDescent="0.3">
      <c r="A109" s="3">
        <v>44.22112647476191</v>
      </c>
      <c r="B109" s="4">
        <v>3</v>
      </c>
      <c r="C109" s="3" t="str">
        <f t="shared" si="1"/>
        <v xml:space="preserve"> </v>
      </c>
    </row>
    <row r="110" spans="1:3" x14ac:dyDescent="0.3">
      <c r="A110" s="3">
        <v>34.448818303521378</v>
      </c>
      <c r="B110" s="4">
        <v>2</v>
      </c>
      <c r="C110" s="3" t="str">
        <f t="shared" si="1"/>
        <v xml:space="preserve"> </v>
      </c>
    </row>
    <row r="111" spans="1:3" x14ac:dyDescent="0.3">
      <c r="A111" s="3">
        <v>24.251851405354174</v>
      </c>
      <c r="B111" s="4">
        <v>1</v>
      </c>
      <c r="C111" s="3">
        <f t="shared" si="1"/>
        <v>24.251851405354174</v>
      </c>
    </row>
    <row r="112" spans="1:3" x14ac:dyDescent="0.3">
      <c r="A112" s="3">
        <v>48.114629308608926</v>
      </c>
      <c r="B112" s="4">
        <v>1</v>
      </c>
      <c r="C112" s="3">
        <f t="shared" si="1"/>
        <v>48.114629308608926</v>
      </c>
    </row>
    <row r="113" spans="1:3" x14ac:dyDescent="0.3">
      <c r="A113" s="3">
        <v>41.358007175647742</v>
      </c>
      <c r="B113" s="4">
        <v>3</v>
      </c>
      <c r="C113" s="3" t="str">
        <f t="shared" si="1"/>
        <v xml:space="preserve"> </v>
      </c>
    </row>
    <row r="114" spans="1:3" x14ac:dyDescent="0.3">
      <c r="A114" s="3">
        <v>60.757546868148339</v>
      </c>
      <c r="B114" s="4">
        <v>4</v>
      </c>
      <c r="C114" s="3" t="str">
        <f t="shared" si="1"/>
        <v xml:space="preserve"> </v>
      </c>
    </row>
    <row r="115" spans="1:3" x14ac:dyDescent="0.3">
      <c r="A115" s="3">
        <v>54.959685234606127</v>
      </c>
      <c r="B115" s="4">
        <v>3</v>
      </c>
      <c r="C115" s="3" t="str">
        <f t="shared" si="1"/>
        <v xml:space="preserve"> </v>
      </c>
    </row>
    <row r="116" spans="1:3" x14ac:dyDescent="0.3">
      <c r="A116" s="3">
        <v>53.901288728179637</v>
      </c>
      <c r="B116" s="4">
        <v>1</v>
      </c>
      <c r="C116" s="3">
        <f t="shared" si="1"/>
        <v>53.901288728179637</v>
      </c>
    </row>
    <row r="117" spans="1:3" x14ac:dyDescent="0.3">
      <c r="A117" s="3">
        <v>49.721303256588676</v>
      </c>
      <c r="B117" s="4">
        <v>4</v>
      </c>
      <c r="C117" s="3" t="str">
        <f t="shared" si="1"/>
        <v xml:space="preserve"> </v>
      </c>
    </row>
    <row r="118" spans="1:3" x14ac:dyDescent="0.3">
      <c r="A118" s="3">
        <v>41.96689139564964</v>
      </c>
      <c r="B118" s="4">
        <v>1</v>
      </c>
      <c r="C118" s="3">
        <f t="shared" si="1"/>
        <v>41.96689139564964</v>
      </c>
    </row>
    <row r="119" spans="1:3" x14ac:dyDescent="0.3">
      <c r="A119" s="3">
        <v>31.922253823733683</v>
      </c>
      <c r="B119" s="4">
        <v>2</v>
      </c>
      <c r="C119" s="3" t="str">
        <f t="shared" si="1"/>
        <v xml:space="preserve"> </v>
      </c>
    </row>
    <row r="120" spans="1:3" x14ac:dyDescent="0.3">
      <c r="A120" s="3">
        <v>21.882754068971629</v>
      </c>
      <c r="B120" s="4">
        <v>3</v>
      </c>
      <c r="C120" s="3" t="str">
        <f t="shared" si="1"/>
        <v xml:space="preserve"> </v>
      </c>
    </row>
    <row r="121" spans="1:3" x14ac:dyDescent="0.3">
      <c r="A121" s="3">
        <v>60.287773694989014</v>
      </c>
      <c r="B121" s="4">
        <v>4</v>
      </c>
      <c r="C121" s="3" t="str">
        <f t="shared" si="1"/>
        <v xml:space="preserve"> </v>
      </c>
    </row>
    <row r="122" spans="1:3" x14ac:dyDescent="0.3">
      <c r="A122" s="3">
        <v>36.799027588552072</v>
      </c>
      <c r="B122" s="4">
        <v>4</v>
      </c>
      <c r="C122" s="3" t="str">
        <f t="shared" si="1"/>
        <v xml:space="preserve"> </v>
      </c>
    </row>
    <row r="123" spans="1:3" x14ac:dyDescent="0.3">
      <c r="A123" s="3">
        <v>56.683162550963246</v>
      </c>
      <c r="B123" s="4">
        <v>2</v>
      </c>
      <c r="C123" s="3" t="str">
        <f t="shared" si="1"/>
        <v xml:space="preserve"> </v>
      </c>
    </row>
    <row r="124" spans="1:3" x14ac:dyDescent="0.3">
      <c r="A124" s="3">
        <v>54.072159058144315</v>
      </c>
      <c r="B124" s="4">
        <v>2</v>
      </c>
      <c r="C124" s="3" t="str">
        <f t="shared" si="1"/>
        <v xml:space="preserve"> </v>
      </c>
    </row>
    <row r="125" spans="1:3" x14ac:dyDescent="0.3">
      <c r="A125" s="3">
        <v>51.637578356371328</v>
      </c>
      <c r="B125" s="4">
        <v>4</v>
      </c>
      <c r="C125" s="3" t="str">
        <f t="shared" si="1"/>
        <v xml:space="preserve"> </v>
      </c>
    </row>
    <row r="126" spans="1:3" x14ac:dyDescent="0.3">
      <c r="A126" s="3">
        <v>49.841378701344617</v>
      </c>
      <c r="B126" s="4">
        <v>4</v>
      </c>
      <c r="C126" s="3" t="str">
        <f t="shared" si="1"/>
        <v xml:space="preserve"> </v>
      </c>
    </row>
    <row r="127" spans="1:3" x14ac:dyDescent="0.3">
      <c r="A127" s="3">
        <v>41.497723800858786</v>
      </c>
      <c r="B127" s="4">
        <v>3</v>
      </c>
      <c r="C127" s="3" t="str">
        <f t="shared" si="1"/>
        <v xml:space="preserve"> </v>
      </c>
    </row>
    <row r="128" spans="1:3" x14ac:dyDescent="0.3">
      <c r="A128" s="3">
        <v>56.262601965854145</v>
      </c>
      <c r="B128" s="4">
        <v>4</v>
      </c>
      <c r="C128" s="3" t="str">
        <f t="shared" si="1"/>
        <v xml:space="preserve"> </v>
      </c>
    </row>
    <row r="129" spans="1:3" x14ac:dyDescent="0.3">
      <c r="A129" s="3">
        <v>63.230234035411172</v>
      </c>
      <c r="B129" s="4">
        <v>1</v>
      </c>
      <c r="C129" s="3">
        <f t="shared" si="1"/>
        <v>63.230234035411172</v>
      </c>
    </row>
    <row r="130" spans="1:3" x14ac:dyDescent="0.3">
      <c r="A130" s="3">
        <v>62.487248638143967</v>
      </c>
      <c r="B130" s="4">
        <v>4</v>
      </c>
      <c r="C130" s="3" t="str">
        <f t="shared" si="1"/>
        <v xml:space="preserve"> </v>
      </c>
    </row>
    <row r="131" spans="1:3" x14ac:dyDescent="0.3">
      <c r="A131" s="3">
        <v>36.634307818632081</v>
      </c>
      <c r="B131" s="4">
        <v>4</v>
      </c>
      <c r="C131" s="3" t="str">
        <f t="shared" ref="C131:C194" si="2">IF(B131=1,A131," ")</f>
        <v xml:space="preserve"> </v>
      </c>
    </row>
    <row r="132" spans="1:3" x14ac:dyDescent="0.3">
      <c r="A132" s="3">
        <v>52.721429806411571</v>
      </c>
      <c r="B132" s="4">
        <v>3</v>
      </c>
      <c r="C132" s="3" t="str">
        <f t="shared" si="2"/>
        <v xml:space="preserve"> </v>
      </c>
    </row>
    <row r="133" spans="1:3" x14ac:dyDescent="0.3">
      <c r="A133" s="3">
        <v>35.433764587968938</v>
      </c>
      <c r="B133" s="4">
        <v>4</v>
      </c>
      <c r="C133" s="3" t="str">
        <f t="shared" si="2"/>
        <v xml:space="preserve"> </v>
      </c>
    </row>
    <row r="134" spans="1:3" x14ac:dyDescent="0.3">
      <c r="A134" s="3">
        <v>58.315436141465504</v>
      </c>
      <c r="B134" s="4">
        <v>1</v>
      </c>
      <c r="C134" s="3">
        <f t="shared" si="2"/>
        <v>58.315436141465504</v>
      </c>
    </row>
    <row r="135" spans="1:3" x14ac:dyDescent="0.3">
      <c r="A135" s="3">
        <v>53.211086232033729</v>
      </c>
      <c r="B135" s="4">
        <v>1</v>
      </c>
      <c r="C135" s="3">
        <f t="shared" si="2"/>
        <v>53.211086232033729</v>
      </c>
    </row>
    <row r="136" spans="1:3" x14ac:dyDescent="0.3">
      <c r="A136" s="3">
        <v>48.239722186811051</v>
      </c>
      <c r="B136" s="4">
        <v>1</v>
      </c>
      <c r="C136" s="3">
        <f t="shared" si="2"/>
        <v>48.239722186811051</v>
      </c>
    </row>
    <row r="137" spans="1:3" x14ac:dyDescent="0.3">
      <c r="A137" s="3">
        <v>26.540656226335901</v>
      </c>
      <c r="B137" s="4">
        <v>3</v>
      </c>
      <c r="C137" s="3" t="str">
        <f t="shared" si="2"/>
        <v xml:space="preserve"> </v>
      </c>
    </row>
    <row r="138" spans="1:3" x14ac:dyDescent="0.3">
      <c r="A138" s="3">
        <v>57.052437952296813</v>
      </c>
      <c r="B138" s="4">
        <v>2</v>
      </c>
      <c r="C138" s="3" t="str">
        <f t="shared" si="2"/>
        <v xml:space="preserve"> </v>
      </c>
    </row>
    <row r="139" spans="1:3" x14ac:dyDescent="0.3">
      <c r="A139" s="3">
        <v>45.58286487284655</v>
      </c>
      <c r="B139" s="4">
        <v>1</v>
      </c>
      <c r="C139" s="3">
        <f t="shared" si="2"/>
        <v>45.58286487284655</v>
      </c>
    </row>
    <row r="140" spans="1:3" x14ac:dyDescent="0.3">
      <c r="A140" s="3">
        <v>32.479959571800464</v>
      </c>
      <c r="B140" s="4">
        <v>3</v>
      </c>
      <c r="C140" s="3" t="str">
        <f t="shared" si="2"/>
        <v xml:space="preserve"> </v>
      </c>
    </row>
    <row r="141" spans="1:3" x14ac:dyDescent="0.3">
      <c r="A141" s="3">
        <v>32.570094189856079</v>
      </c>
      <c r="B141" s="4">
        <v>4</v>
      </c>
      <c r="C141" s="3" t="str">
        <f t="shared" si="2"/>
        <v xml:space="preserve"> </v>
      </c>
    </row>
    <row r="142" spans="1:3" x14ac:dyDescent="0.3">
      <c r="A142" s="3">
        <v>62.634354224068289</v>
      </c>
      <c r="B142" s="4">
        <v>1</v>
      </c>
      <c r="C142" s="3">
        <f t="shared" si="2"/>
        <v>62.634354224068289</v>
      </c>
    </row>
    <row r="143" spans="1:3" x14ac:dyDescent="0.3">
      <c r="A143" s="3">
        <v>44.839130402658292</v>
      </c>
      <c r="B143" s="4">
        <v>4</v>
      </c>
      <c r="C143" s="3" t="str">
        <f t="shared" si="2"/>
        <v xml:space="preserve"> </v>
      </c>
    </row>
    <row r="144" spans="1:3" x14ac:dyDescent="0.3">
      <c r="A144" s="3">
        <v>43.145385849222947</v>
      </c>
      <c r="B144" s="4">
        <v>1</v>
      </c>
      <c r="C144" s="3">
        <f t="shared" si="2"/>
        <v>43.145385849222947</v>
      </c>
    </row>
    <row r="145" spans="1:3" x14ac:dyDescent="0.3">
      <c r="A145" s="3">
        <v>28.896512443312805</v>
      </c>
      <c r="B145" s="4">
        <v>2</v>
      </c>
      <c r="C145" s="3" t="str">
        <f t="shared" si="2"/>
        <v xml:space="preserve"> </v>
      </c>
    </row>
    <row r="146" spans="1:3" x14ac:dyDescent="0.3">
      <c r="A146" s="3">
        <v>52.749722704023533</v>
      </c>
      <c r="B146" s="4">
        <v>3</v>
      </c>
      <c r="C146" s="3" t="str">
        <f t="shared" si="2"/>
        <v xml:space="preserve"> </v>
      </c>
    </row>
    <row r="147" spans="1:3" x14ac:dyDescent="0.3">
      <c r="A147" s="3">
        <v>33.767943593027681</v>
      </c>
      <c r="B147" s="4">
        <v>1</v>
      </c>
      <c r="C147" s="3">
        <f t="shared" si="2"/>
        <v>33.767943593027681</v>
      </c>
    </row>
    <row r="148" spans="1:3" x14ac:dyDescent="0.3">
      <c r="A148" s="3">
        <v>61.726180820007279</v>
      </c>
      <c r="B148" s="4">
        <v>2</v>
      </c>
      <c r="C148" s="3" t="str">
        <f t="shared" si="2"/>
        <v xml:space="preserve"> </v>
      </c>
    </row>
    <row r="149" spans="1:3" x14ac:dyDescent="0.3">
      <c r="A149" s="3">
        <v>39.669474859587694</v>
      </c>
      <c r="B149" s="4">
        <v>4</v>
      </c>
      <c r="C149" s="3" t="str">
        <f t="shared" si="2"/>
        <v xml:space="preserve"> </v>
      </c>
    </row>
    <row r="150" spans="1:3" x14ac:dyDescent="0.3">
      <c r="A150" s="3">
        <v>41.149067972700578</v>
      </c>
      <c r="B150" s="4">
        <v>1</v>
      </c>
      <c r="C150" s="3">
        <f t="shared" si="2"/>
        <v>41.149067972700578</v>
      </c>
    </row>
    <row r="151" spans="1:3" x14ac:dyDescent="0.3">
      <c r="A151" s="3">
        <v>32.287936904557995</v>
      </c>
      <c r="B151" s="4">
        <v>3</v>
      </c>
      <c r="C151" s="3" t="str">
        <f t="shared" si="2"/>
        <v xml:space="preserve"> </v>
      </c>
    </row>
    <row r="152" spans="1:3" x14ac:dyDescent="0.3">
      <c r="A152" s="3">
        <v>57.578611132564163</v>
      </c>
      <c r="B152" s="4">
        <v>3</v>
      </c>
      <c r="C152" s="3" t="str">
        <f t="shared" si="2"/>
        <v xml:space="preserve"> </v>
      </c>
    </row>
    <row r="153" spans="1:3" x14ac:dyDescent="0.3">
      <c r="A153" s="3">
        <v>46.802318015155699</v>
      </c>
      <c r="B153" s="4">
        <v>1</v>
      </c>
      <c r="C153" s="3">
        <f t="shared" si="2"/>
        <v>46.802318015155699</v>
      </c>
    </row>
    <row r="154" spans="1:3" x14ac:dyDescent="0.3">
      <c r="A154" s="3">
        <v>62.205869581996296</v>
      </c>
      <c r="B154" s="4">
        <v>3</v>
      </c>
      <c r="C154" s="3" t="str">
        <f t="shared" si="2"/>
        <v xml:space="preserve"> </v>
      </c>
    </row>
    <row r="155" spans="1:3" x14ac:dyDescent="0.3">
      <c r="A155" s="3">
        <v>45.871964911570181</v>
      </c>
      <c r="B155" s="4">
        <v>3</v>
      </c>
      <c r="C155" s="3" t="str">
        <f t="shared" si="2"/>
        <v xml:space="preserve"> </v>
      </c>
    </row>
    <row r="156" spans="1:3" x14ac:dyDescent="0.3">
      <c r="A156" s="3">
        <v>33.476050286264126</v>
      </c>
      <c r="B156" s="4">
        <v>2</v>
      </c>
      <c r="C156" s="3" t="str">
        <f t="shared" si="2"/>
        <v xml:space="preserve"> </v>
      </c>
    </row>
    <row r="157" spans="1:3" x14ac:dyDescent="0.3">
      <c r="A157" s="3">
        <v>24.492427550082564</v>
      </c>
      <c r="B157" s="4">
        <v>4</v>
      </c>
      <c r="C157" s="3" t="str">
        <f t="shared" si="2"/>
        <v xml:space="preserve"> </v>
      </c>
    </row>
    <row r="158" spans="1:3" x14ac:dyDescent="0.3">
      <c r="A158" s="3">
        <v>25.083310867852131</v>
      </c>
      <c r="B158" s="4">
        <v>1</v>
      </c>
      <c r="C158" s="3">
        <f t="shared" si="2"/>
        <v>25.083310867852131</v>
      </c>
    </row>
    <row r="159" spans="1:3" x14ac:dyDescent="0.3">
      <c r="A159" s="3">
        <v>48.797394941123279</v>
      </c>
      <c r="B159" s="4">
        <v>2</v>
      </c>
      <c r="C159" s="3" t="str">
        <f t="shared" si="2"/>
        <v xml:space="preserve"> </v>
      </c>
    </row>
    <row r="160" spans="1:3" x14ac:dyDescent="0.3">
      <c r="A160" s="3">
        <v>39.595588327258646</v>
      </c>
      <c r="B160" s="4">
        <v>3</v>
      </c>
      <c r="C160" s="3" t="str">
        <f t="shared" si="2"/>
        <v xml:space="preserve"> </v>
      </c>
    </row>
    <row r="161" spans="1:3" x14ac:dyDescent="0.3">
      <c r="A161" s="3">
        <v>58.842458725483553</v>
      </c>
      <c r="B161" s="4">
        <v>3</v>
      </c>
      <c r="C161" s="3" t="str">
        <f t="shared" si="2"/>
        <v xml:space="preserve"> </v>
      </c>
    </row>
    <row r="162" spans="1:3" x14ac:dyDescent="0.3">
      <c r="A162" s="3">
        <v>43.937496429837502</v>
      </c>
      <c r="B162" s="4">
        <v>3</v>
      </c>
      <c r="C162" s="3" t="str">
        <f t="shared" si="2"/>
        <v xml:space="preserve"> </v>
      </c>
    </row>
    <row r="163" spans="1:3" x14ac:dyDescent="0.3">
      <c r="A163" s="3">
        <v>44.128607780461948</v>
      </c>
      <c r="B163" s="4">
        <v>1</v>
      </c>
      <c r="C163" s="3">
        <f t="shared" si="2"/>
        <v>44.128607780461948</v>
      </c>
    </row>
    <row r="164" spans="1:3" x14ac:dyDescent="0.3">
      <c r="A164" s="3">
        <v>50.257546388713422</v>
      </c>
      <c r="B164" s="4">
        <v>3</v>
      </c>
      <c r="C164" s="3" t="str">
        <f t="shared" si="2"/>
        <v xml:space="preserve"> </v>
      </c>
    </row>
    <row r="165" spans="1:3" x14ac:dyDescent="0.3">
      <c r="A165" s="3">
        <v>47.636802888923917</v>
      </c>
      <c r="B165" s="4">
        <v>4</v>
      </c>
      <c r="C165" s="3" t="str">
        <f t="shared" si="2"/>
        <v xml:space="preserve"> </v>
      </c>
    </row>
    <row r="166" spans="1:3" x14ac:dyDescent="0.3">
      <c r="A166" s="3">
        <v>44.240481805739734</v>
      </c>
      <c r="B166" s="4">
        <v>2</v>
      </c>
      <c r="C166" s="3" t="str">
        <f t="shared" si="2"/>
        <v xml:space="preserve"> </v>
      </c>
    </row>
    <row r="167" spans="1:3" x14ac:dyDescent="0.3">
      <c r="A167" s="3">
        <v>41.359617790489111</v>
      </c>
      <c r="B167" s="4">
        <v>4</v>
      </c>
      <c r="C167" s="3" t="str">
        <f t="shared" si="2"/>
        <v xml:space="preserve"> </v>
      </c>
    </row>
    <row r="168" spans="1:3" x14ac:dyDescent="0.3">
      <c r="A168" s="3">
        <v>39.106297400503614</v>
      </c>
      <c r="B168" s="4">
        <v>2</v>
      </c>
      <c r="C168" s="3" t="str">
        <f t="shared" si="2"/>
        <v xml:space="preserve"> </v>
      </c>
    </row>
    <row r="169" spans="1:3" x14ac:dyDescent="0.3">
      <c r="A169" s="3">
        <v>46.115050001151062</v>
      </c>
      <c r="B169" s="4">
        <v>3</v>
      </c>
      <c r="C169" s="3" t="str">
        <f t="shared" si="2"/>
        <v xml:space="preserve"> </v>
      </c>
    </row>
    <row r="170" spans="1:3" x14ac:dyDescent="0.3">
      <c r="A170" s="3">
        <v>50.428702154282639</v>
      </c>
      <c r="B170" s="4">
        <v>4</v>
      </c>
      <c r="C170" s="3" t="str">
        <f t="shared" si="2"/>
        <v xml:space="preserve"> </v>
      </c>
    </row>
    <row r="171" spans="1:3" x14ac:dyDescent="0.3">
      <c r="A171" s="3">
        <v>35.77776962991193</v>
      </c>
      <c r="B171" s="4">
        <v>4</v>
      </c>
      <c r="C171" s="3" t="str">
        <f t="shared" si="2"/>
        <v xml:space="preserve"> </v>
      </c>
    </row>
    <row r="172" spans="1:3" x14ac:dyDescent="0.3">
      <c r="A172" s="3">
        <v>46.637106502075056</v>
      </c>
      <c r="B172" s="4">
        <v>2</v>
      </c>
      <c r="C172" s="3" t="str">
        <f t="shared" si="2"/>
        <v xml:space="preserve"> </v>
      </c>
    </row>
    <row r="173" spans="1:3" x14ac:dyDescent="0.3">
      <c r="A173" s="3">
        <v>38.204630048851712</v>
      </c>
      <c r="B173" s="4">
        <v>2</v>
      </c>
      <c r="C173" s="3" t="str">
        <f t="shared" si="2"/>
        <v xml:space="preserve"> </v>
      </c>
    </row>
    <row r="174" spans="1:3" x14ac:dyDescent="0.3">
      <c r="A174" s="3">
        <v>42.029769626420205</v>
      </c>
      <c r="B174" s="4">
        <v>2</v>
      </c>
      <c r="C174" s="3" t="str">
        <f t="shared" si="2"/>
        <v xml:space="preserve"> </v>
      </c>
    </row>
    <row r="175" spans="1:3" x14ac:dyDescent="0.3">
      <c r="A175" s="3">
        <v>61.186051635638165</v>
      </c>
      <c r="B175" s="4">
        <v>1</v>
      </c>
      <c r="C175" s="3">
        <f t="shared" si="2"/>
        <v>61.186051635638165</v>
      </c>
    </row>
    <row r="176" spans="1:3" x14ac:dyDescent="0.3">
      <c r="A176" s="3">
        <v>32.044498584824041</v>
      </c>
      <c r="B176" s="4">
        <v>1</v>
      </c>
      <c r="C176" s="3">
        <f t="shared" si="2"/>
        <v>32.044498584824041</v>
      </c>
    </row>
    <row r="177" spans="1:3" x14ac:dyDescent="0.3">
      <c r="A177" s="3">
        <v>30.511735823257666</v>
      </c>
      <c r="B177" s="4">
        <v>4</v>
      </c>
      <c r="C177" s="3" t="str">
        <f t="shared" si="2"/>
        <v xml:space="preserve"> </v>
      </c>
    </row>
    <row r="178" spans="1:3" x14ac:dyDescent="0.3">
      <c r="A178" s="3">
        <v>45.987805051651492</v>
      </c>
      <c r="B178" s="4">
        <v>4</v>
      </c>
      <c r="C178" s="3" t="str">
        <f t="shared" si="2"/>
        <v xml:space="preserve"> </v>
      </c>
    </row>
    <row r="179" spans="1:3" x14ac:dyDescent="0.3">
      <c r="A179" s="3">
        <v>34.381873505594442</v>
      </c>
      <c r="B179" s="4">
        <v>4</v>
      </c>
      <c r="C179" s="3" t="str">
        <f t="shared" si="2"/>
        <v xml:space="preserve"> </v>
      </c>
    </row>
    <row r="180" spans="1:3" x14ac:dyDescent="0.3">
      <c r="A180" s="3">
        <v>46.641857331702994</v>
      </c>
      <c r="B180" s="4">
        <v>4</v>
      </c>
      <c r="C180" s="3" t="str">
        <f t="shared" si="2"/>
        <v xml:space="preserve"> </v>
      </c>
    </row>
    <row r="181" spans="1:3" x14ac:dyDescent="0.3">
      <c r="A181" s="3">
        <v>38.937317822571153</v>
      </c>
      <c r="B181" s="4">
        <v>4</v>
      </c>
      <c r="C181" s="3" t="str">
        <f t="shared" si="2"/>
        <v xml:space="preserve"> </v>
      </c>
    </row>
    <row r="182" spans="1:3" x14ac:dyDescent="0.3">
      <c r="A182" s="3">
        <v>61.335589905175439</v>
      </c>
      <c r="B182" s="4">
        <v>3</v>
      </c>
      <c r="C182" s="3" t="str">
        <f t="shared" si="2"/>
        <v xml:space="preserve"> </v>
      </c>
    </row>
    <row r="183" spans="1:3" x14ac:dyDescent="0.3">
      <c r="A183" s="3">
        <v>49.771515570277323</v>
      </c>
      <c r="B183" s="4">
        <v>3</v>
      </c>
      <c r="C183" s="3" t="str">
        <f t="shared" si="2"/>
        <v xml:space="preserve"> </v>
      </c>
    </row>
    <row r="184" spans="1:3" x14ac:dyDescent="0.3">
      <c r="A184" s="3">
        <v>43.142067918146367</v>
      </c>
      <c r="B184" s="4">
        <v>4</v>
      </c>
      <c r="C184" s="3" t="str">
        <f t="shared" si="2"/>
        <v xml:space="preserve"> </v>
      </c>
    </row>
    <row r="185" spans="1:3" x14ac:dyDescent="0.3">
      <c r="A185" s="3">
        <v>48.164289303580041</v>
      </c>
      <c r="B185" s="4">
        <v>1</v>
      </c>
      <c r="C185" s="3">
        <f t="shared" si="2"/>
        <v>48.164289303580041</v>
      </c>
    </row>
    <row r="186" spans="1:3" x14ac:dyDescent="0.3">
      <c r="A186" s="3">
        <v>69.024282132772981</v>
      </c>
      <c r="B186" s="4">
        <v>2</v>
      </c>
      <c r="C186" s="3" t="str">
        <f t="shared" si="2"/>
        <v xml:space="preserve"> </v>
      </c>
    </row>
    <row r="187" spans="1:3" x14ac:dyDescent="0.3">
      <c r="A187" s="3">
        <v>35.761167421870091</v>
      </c>
      <c r="B187" s="4">
        <v>1</v>
      </c>
      <c r="C187" s="3">
        <f t="shared" si="2"/>
        <v>35.761167421870091</v>
      </c>
    </row>
    <row r="188" spans="1:3" x14ac:dyDescent="0.3">
      <c r="A188" s="3">
        <v>51.676333683322525</v>
      </c>
      <c r="B188" s="4">
        <v>2</v>
      </c>
      <c r="C188" s="3" t="str">
        <f t="shared" si="2"/>
        <v xml:space="preserve"> </v>
      </c>
    </row>
    <row r="189" spans="1:3" x14ac:dyDescent="0.3">
      <c r="A189" s="3">
        <v>27.929672073696835</v>
      </c>
      <c r="B189" s="4">
        <v>4</v>
      </c>
      <c r="C189" s="3" t="str">
        <f t="shared" si="2"/>
        <v xml:space="preserve"> </v>
      </c>
    </row>
    <row r="190" spans="1:3" x14ac:dyDescent="0.3">
      <c r="A190" s="3">
        <v>56.093983704672389</v>
      </c>
      <c r="B190" s="4">
        <v>3</v>
      </c>
      <c r="C190" s="3" t="str">
        <f t="shared" si="2"/>
        <v xml:space="preserve"> </v>
      </c>
    </row>
    <row r="191" spans="1:3" x14ac:dyDescent="0.3">
      <c r="A191" s="3">
        <v>36.383428915193484</v>
      </c>
      <c r="B191" s="4">
        <v>1</v>
      </c>
      <c r="C191" s="3">
        <f t="shared" si="2"/>
        <v>36.383428915193484</v>
      </c>
    </row>
    <row r="192" spans="1:3" x14ac:dyDescent="0.3">
      <c r="A192" s="3">
        <v>43.884441728519235</v>
      </c>
      <c r="B192" s="4">
        <v>4</v>
      </c>
      <c r="C192" s="3" t="str">
        <f t="shared" si="2"/>
        <v xml:space="preserve"> </v>
      </c>
    </row>
    <row r="193" spans="1:3" x14ac:dyDescent="0.3">
      <c r="A193" s="3">
        <v>41.230819586416104</v>
      </c>
      <c r="B193" s="4">
        <v>3</v>
      </c>
      <c r="C193" s="3" t="str">
        <f t="shared" si="2"/>
        <v xml:space="preserve"> </v>
      </c>
    </row>
    <row r="194" spans="1:3" x14ac:dyDescent="0.3">
      <c r="A194" s="3">
        <v>37.819278807466084</v>
      </c>
      <c r="B194" s="4">
        <v>2</v>
      </c>
      <c r="C194" s="3" t="str">
        <f t="shared" si="2"/>
        <v xml:space="preserve"> </v>
      </c>
    </row>
    <row r="195" spans="1:3" x14ac:dyDescent="0.3">
      <c r="A195" s="3">
        <v>15.585516185555754</v>
      </c>
      <c r="B195" s="4">
        <v>3</v>
      </c>
      <c r="C195" s="3" t="str">
        <f t="shared" ref="C195:C251" si="3">IF(B195=1,A195," ")</f>
        <v xml:space="preserve"> </v>
      </c>
    </row>
    <row r="196" spans="1:3" x14ac:dyDescent="0.3">
      <c r="A196" s="3">
        <v>57.540996541415907</v>
      </c>
      <c r="B196" s="4">
        <v>3</v>
      </c>
      <c r="C196" s="3" t="str">
        <f t="shared" si="3"/>
        <v xml:space="preserve"> </v>
      </c>
    </row>
    <row r="197" spans="1:3" x14ac:dyDescent="0.3">
      <c r="A197" s="3">
        <v>45.946939952174993</v>
      </c>
      <c r="B197" s="4">
        <v>1</v>
      </c>
      <c r="C197" s="3">
        <f t="shared" si="3"/>
        <v>45.946939952174993</v>
      </c>
    </row>
    <row r="198" spans="1:3" x14ac:dyDescent="0.3">
      <c r="A198" s="3">
        <v>46.833307857838669</v>
      </c>
      <c r="B198" s="4">
        <v>4</v>
      </c>
      <c r="C198" s="3" t="str">
        <f t="shared" si="3"/>
        <v xml:space="preserve"> </v>
      </c>
    </row>
    <row r="199" spans="1:3" x14ac:dyDescent="0.3">
      <c r="A199" s="3">
        <v>38.074518576395448</v>
      </c>
      <c r="B199" s="4">
        <v>3</v>
      </c>
      <c r="C199" s="3" t="str">
        <f t="shared" si="3"/>
        <v xml:space="preserve"> </v>
      </c>
    </row>
    <row r="200" spans="1:3" x14ac:dyDescent="0.3">
      <c r="A200" s="3">
        <v>50.689314516525869</v>
      </c>
      <c r="B200" s="4">
        <v>1</v>
      </c>
      <c r="C200" s="3">
        <f t="shared" si="3"/>
        <v>50.689314516525869</v>
      </c>
    </row>
    <row r="201" spans="1:3" x14ac:dyDescent="0.3">
      <c r="A201" s="3">
        <v>34.987226948565329</v>
      </c>
      <c r="B201" s="4">
        <v>4</v>
      </c>
      <c r="C201" s="3" t="str">
        <f t="shared" si="3"/>
        <v xml:space="preserve"> </v>
      </c>
    </row>
    <row r="202" spans="1:3" x14ac:dyDescent="0.3">
      <c r="A202" s="3">
        <v>38.656471298942058</v>
      </c>
      <c r="B202" s="4">
        <v>3</v>
      </c>
      <c r="C202" s="3" t="str">
        <f t="shared" si="3"/>
        <v xml:space="preserve"> </v>
      </c>
    </row>
    <row r="203" spans="1:3" x14ac:dyDescent="0.3">
      <c r="A203" s="3">
        <v>32.39613821999226</v>
      </c>
      <c r="B203" s="4">
        <v>2</v>
      </c>
      <c r="C203" s="3" t="str">
        <f t="shared" si="3"/>
        <v xml:space="preserve"> </v>
      </c>
    </row>
    <row r="204" spans="1:3" x14ac:dyDescent="0.3">
      <c r="A204" s="3">
        <v>29.541197120717968</v>
      </c>
      <c r="B204" s="4">
        <v>3</v>
      </c>
      <c r="C204" s="3" t="str">
        <f t="shared" si="3"/>
        <v xml:space="preserve"> </v>
      </c>
    </row>
    <row r="205" spans="1:3" x14ac:dyDescent="0.3">
      <c r="A205" s="3">
        <v>51.804981973375128</v>
      </c>
      <c r="B205" s="4">
        <v>4</v>
      </c>
      <c r="C205" s="3" t="str">
        <f t="shared" si="3"/>
        <v xml:space="preserve"> </v>
      </c>
    </row>
    <row r="206" spans="1:3" x14ac:dyDescent="0.3">
      <c r="A206" s="3">
        <v>35.355001594779125</v>
      </c>
      <c r="B206" s="4">
        <v>3</v>
      </c>
      <c r="C206" s="3" t="str">
        <f t="shared" si="3"/>
        <v xml:space="preserve"> </v>
      </c>
    </row>
    <row r="207" spans="1:3" x14ac:dyDescent="0.3">
      <c r="A207" s="3">
        <v>52.039011693471423</v>
      </c>
      <c r="B207" s="4">
        <v>2</v>
      </c>
      <c r="C207" s="3" t="str">
        <f t="shared" si="3"/>
        <v xml:space="preserve"> </v>
      </c>
    </row>
    <row r="208" spans="1:3" x14ac:dyDescent="0.3">
      <c r="A208" s="3">
        <v>55.038852776167658</v>
      </c>
      <c r="B208" s="4">
        <v>2</v>
      </c>
      <c r="C208" s="3" t="str">
        <f t="shared" si="3"/>
        <v xml:space="preserve"> </v>
      </c>
    </row>
    <row r="209" spans="1:3" x14ac:dyDescent="0.3">
      <c r="A209" s="3">
        <v>46.08080099460593</v>
      </c>
      <c r="B209" s="4">
        <v>2</v>
      </c>
      <c r="C209" s="3" t="str">
        <f t="shared" si="3"/>
        <v xml:space="preserve"> </v>
      </c>
    </row>
    <row r="210" spans="1:3" x14ac:dyDescent="0.3">
      <c r="A210" s="3">
        <v>52.678529567657577</v>
      </c>
      <c r="B210" s="4">
        <v>4</v>
      </c>
      <c r="C210" s="3" t="str">
        <f t="shared" si="3"/>
        <v xml:space="preserve"> </v>
      </c>
    </row>
    <row r="211" spans="1:3" x14ac:dyDescent="0.3">
      <c r="A211" s="3">
        <v>62.973766981390817</v>
      </c>
      <c r="B211" s="4">
        <v>1</v>
      </c>
      <c r="C211" s="3">
        <f t="shared" si="3"/>
        <v>62.973766981390817</v>
      </c>
    </row>
    <row r="212" spans="1:3" x14ac:dyDescent="0.3">
      <c r="A212" s="3">
        <v>43.014140119444306</v>
      </c>
      <c r="B212" s="4">
        <v>4</v>
      </c>
      <c r="C212" s="3" t="str">
        <f t="shared" si="3"/>
        <v xml:space="preserve"> </v>
      </c>
    </row>
    <row r="213" spans="1:3" x14ac:dyDescent="0.3">
      <c r="A213" s="3">
        <v>37.933252237409327</v>
      </c>
      <c r="B213" s="4">
        <v>4</v>
      </c>
      <c r="C213" s="3" t="str">
        <f t="shared" si="3"/>
        <v xml:space="preserve"> </v>
      </c>
    </row>
    <row r="214" spans="1:3" x14ac:dyDescent="0.3">
      <c r="A214" s="3">
        <v>30.104299691620383</v>
      </c>
      <c r="B214" s="4">
        <v>2</v>
      </c>
      <c r="C214" s="3" t="str">
        <f t="shared" si="3"/>
        <v xml:space="preserve"> </v>
      </c>
    </row>
    <row r="215" spans="1:3" x14ac:dyDescent="0.3">
      <c r="A215" s="3">
        <v>63.243779864320103</v>
      </c>
      <c r="B215" s="4">
        <v>1</v>
      </c>
      <c r="C215" s="3">
        <f t="shared" si="3"/>
        <v>63.243779864320103</v>
      </c>
    </row>
    <row r="216" spans="1:3" x14ac:dyDescent="0.3">
      <c r="A216" s="3">
        <v>48.977923974990574</v>
      </c>
      <c r="B216" s="4">
        <v>3</v>
      </c>
      <c r="C216" s="3" t="str">
        <f t="shared" si="3"/>
        <v xml:space="preserve"> </v>
      </c>
    </row>
    <row r="217" spans="1:3" x14ac:dyDescent="0.3">
      <c r="A217" s="3">
        <v>38.921580365748355</v>
      </c>
      <c r="B217" s="4">
        <v>4</v>
      </c>
      <c r="C217" s="3" t="str">
        <f t="shared" si="3"/>
        <v xml:space="preserve"> </v>
      </c>
    </row>
    <row r="218" spans="1:3" x14ac:dyDescent="0.3">
      <c r="A218" s="3">
        <v>52.977435389664848</v>
      </c>
      <c r="B218" s="4">
        <v>2</v>
      </c>
      <c r="C218" s="3" t="str">
        <f t="shared" si="3"/>
        <v xml:space="preserve"> </v>
      </c>
    </row>
    <row r="219" spans="1:3" x14ac:dyDescent="0.3">
      <c r="A219" s="3">
        <v>42.982105016259759</v>
      </c>
      <c r="B219" s="4">
        <v>4</v>
      </c>
      <c r="C219" s="3" t="str">
        <f t="shared" si="3"/>
        <v xml:space="preserve"> </v>
      </c>
    </row>
    <row r="220" spans="1:3" x14ac:dyDescent="0.3">
      <c r="A220" s="3">
        <v>42.341118347900661</v>
      </c>
      <c r="B220" s="4">
        <v>3</v>
      </c>
      <c r="C220" s="3" t="str">
        <f t="shared" si="3"/>
        <v xml:space="preserve"> </v>
      </c>
    </row>
    <row r="221" spans="1:3" x14ac:dyDescent="0.3">
      <c r="A221" s="3">
        <v>45.30496917157258</v>
      </c>
      <c r="B221" s="4">
        <v>4</v>
      </c>
      <c r="C221" s="3" t="str">
        <f t="shared" si="3"/>
        <v xml:space="preserve"> </v>
      </c>
    </row>
    <row r="222" spans="1:3" x14ac:dyDescent="0.3">
      <c r="A222" s="3">
        <v>30.31469568046424</v>
      </c>
      <c r="B222" s="4">
        <v>4</v>
      </c>
      <c r="C222" s="3" t="str">
        <f t="shared" si="3"/>
        <v xml:space="preserve"> </v>
      </c>
    </row>
    <row r="223" spans="1:3" x14ac:dyDescent="0.3">
      <c r="A223" s="3">
        <v>55.041770270536176</v>
      </c>
      <c r="B223" s="4">
        <v>3</v>
      </c>
      <c r="C223" s="3" t="str">
        <f t="shared" si="3"/>
        <v xml:space="preserve"> </v>
      </c>
    </row>
    <row r="224" spans="1:3" x14ac:dyDescent="0.3">
      <c r="A224" s="3">
        <v>50.464453162353827</v>
      </c>
      <c r="B224" s="4">
        <v>1</v>
      </c>
      <c r="C224" s="3">
        <f t="shared" si="3"/>
        <v>50.464453162353827</v>
      </c>
    </row>
    <row r="225" spans="1:3" x14ac:dyDescent="0.3">
      <c r="A225" s="3">
        <v>25.119860153380209</v>
      </c>
      <c r="B225" s="4">
        <v>1</v>
      </c>
      <c r="C225" s="3">
        <f t="shared" si="3"/>
        <v>25.119860153380209</v>
      </c>
    </row>
    <row r="226" spans="1:3" x14ac:dyDescent="0.3">
      <c r="A226" s="3">
        <v>31.9166175929536</v>
      </c>
      <c r="B226" s="4">
        <v>1</v>
      </c>
      <c r="C226" s="3">
        <f t="shared" si="3"/>
        <v>31.9166175929536</v>
      </c>
    </row>
    <row r="227" spans="1:3" x14ac:dyDescent="0.3">
      <c r="A227" s="3">
        <v>51.227711662954917</v>
      </c>
      <c r="B227" s="4">
        <v>3</v>
      </c>
      <c r="C227" s="3" t="str">
        <f t="shared" si="3"/>
        <v xml:space="preserve"> </v>
      </c>
    </row>
    <row r="228" spans="1:3" x14ac:dyDescent="0.3">
      <c r="A228" s="3">
        <v>47.961934192456617</v>
      </c>
      <c r="B228" s="4">
        <v>3</v>
      </c>
      <c r="C228" s="3" t="str">
        <f t="shared" si="3"/>
        <v xml:space="preserve"> </v>
      </c>
    </row>
    <row r="229" spans="1:3" x14ac:dyDescent="0.3">
      <c r="A229" s="3">
        <v>44.841013550478422</v>
      </c>
      <c r="B229" s="4">
        <v>1</v>
      </c>
      <c r="C229" s="3">
        <f t="shared" si="3"/>
        <v>44.841013550478422</v>
      </c>
    </row>
    <row r="230" spans="1:3" x14ac:dyDescent="0.3">
      <c r="A230" s="3">
        <v>50.724654184845072</v>
      </c>
      <c r="B230" s="4">
        <v>4</v>
      </c>
      <c r="C230" s="3" t="str">
        <f t="shared" si="3"/>
        <v xml:space="preserve"> </v>
      </c>
    </row>
    <row r="231" spans="1:3" x14ac:dyDescent="0.3">
      <c r="A231" s="3">
        <v>53.918781123273078</v>
      </c>
      <c r="B231" s="4">
        <v>4</v>
      </c>
      <c r="C231" s="3" t="str">
        <f t="shared" si="3"/>
        <v xml:space="preserve"> </v>
      </c>
    </row>
    <row r="232" spans="1:3" x14ac:dyDescent="0.3">
      <c r="A232" s="3">
        <v>26.821947460090666</v>
      </c>
      <c r="B232" s="4">
        <v>1</v>
      </c>
      <c r="C232" s="3">
        <f t="shared" si="3"/>
        <v>26.821947460090666</v>
      </c>
    </row>
    <row r="233" spans="1:3" x14ac:dyDescent="0.3">
      <c r="A233" s="3">
        <v>47.770490232046669</v>
      </c>
      <c r="B233" s="4">
        <v>1</v>
      </c>
      <c r="C233" s="3">
        <f t="shared" si="3"/>
        <v>47.770490232046669</v>
      </c>
    </row>
    <row r="234" spans="1:3" x14ac:dyDescent="0.3">
      <c r="A234" s="3">
        <v>46.541696178252757</v>
      </c>
      <c r="B234" s="4">
        <v>2</v>
      </c>
      <c r="C234" s="3" t="str">
        <f t="shared" si="3"/>
        <v xml:space="preserve"> </v>
      </c>
    </row>
    <row r="235" spans="1:3" x14ac:dyDescent="0.3">
      <c r="A235" s="3">
        <v>33.952990635075004</v>
      </c>
      <c r="B235" s="4">
        <v>3</v>
      </c>
      <c r="C235" s="3" t="str">
        <f t="shared" si="3"/>
        <v xml:space="preserve"> </v>
      </c>
    </row>
    <row r="236" spans="1:3" x14ac:dyDescent="0.3">
      <c r="A236" s="3">
        <v>53.807220529591746</v>
      </c>
      <c r="B236" s="4">
        <v>2</v>
      </c>
      <c r="C236" s="3" t="str">
        <f t="shared" si="3"/>
        <v xml:space="preserve"> </v>
      </c>
    </row>
    <row r="237" spans="1:3" x14ac:dyDescent="0.3">
      <c r="A237" s="3">
        <v>54.893907637187425</v>
      </c>
      <c r="B237" s="4">
        <v>3</v>
      </c>
      <c r="C237" s="3" t="str">
        <f t="shared" si="3"/>
        <v xml:space="preserve"> </v>
      </c>
    </row>
    <row r="238" spans="1:3" x14ac:dyDescent="0.3">
      <c r="A238" s="3">
        <v>40.691717562173388</v>
      </c>
      <c r="B238" s="4">
        <v>1</v>
      </c>
      <c r="C238" s="3">
        <f t="shared" si="3"/>
        <v>40.691717562173388</v>
      </c>
    </row>
    <row r="239" spans="1:3" x14ac:dyDescent="0.3">
      <c r="A239" s="3">
        <v>44.558848655838261</v>
      </c>
      <c r="B239" s="4">
        <v>2</v>
      </c>
      <c r="C239" s="3" t="str">
        <f t="shared" si="3"/>
        <v xml:space="preserve"> </v>
      </c>
    </row>
    <row r="240" spans="1:3" x14ac:dyDescent="0.3">
      <c r="A240" s="3">
        <v>33.795463555870263</v>
      </c>
      <c r="B240" s="4">
        <v>1</v>
      </c>
      <c r="C240" s="3">
        <f t="shared" si="3"/>
        <v>33.795463555870263</v>
      </c>
    </row>
    <row r="241" spans="1:3" x14ac:dyDescent="0.3">
      <c r="A241" s="3">
        <v>43.875253645846797</v>
      </c>
      <c r="B241" s="4">
        <v>3</v>
      </c>
      <c r="C241" s="3" t="str">
        <f t="shared" si="3"/>
        <v xml:space="preserve"> </v>
      </c>
    </row>
    <row r="242" spans="1:3" x14ac:dyDescent="0.3">
      <c r="A242" s="3">
        <v>40.91545662786514</v>
      </c>
      <c r="B242" s="4">
        <v>2</v>
      </c>
      <c r="C242" s="3" t="str">
        <f t="shared" si="3"/>
        <v xml:space="preserve"> </v>
      </c>
    </row>
    <row r="243" spans="1:3" x14ac:dyDescent="0.3">
      <c r="A243" s="3">
        <v>46.89853761299856</v>
      </c>
      <c r="B243" s="4">
        <v>4</v>
      </c>
      <c r="C243" s="3" t="str">
        <f t="shared" si="3"/>
        <v xml:space="preserve"> </v>
      </c>
    </row>
    <row r="244" spans="1:3" x14ac:dyDescent="0.3">
      <c r="A244" s="3">
        <v>28.209204177086111</v>
      </c>
      <c r="B244" s="4">
        <v>1</v>
      </c>
      <c r="C244" s="3">
        <f t="shared" si="3"/>
        <v>28.209204177086111</v>
      </c>
    </row>
    <row r="245" spans="1:3" x14ac:dyDescent="0.3">
      <c r="A245" s="3">
        <v>50.700413753268073</v>
      </c>
      <c r="B245" s="4">
        <v>2</v>
      </c>
      <c r="C245" s="3" t="str">
        <f t="shared" si="3"/>
        <v xml:space="preserve"> </v>
      </c>
    </row>
    <row r="246" spans="1:3" x14ac:dyDescent="0.3">
      <c r="A246" s="3">
        <v>42.917618706694725</v>
      </c>
      <c r="B246" s="4">
        <v>4</v>
      </c>
      <c r="C246" s="3" t="str">
        <f t="shared" si="3"/>
        <v xml:space="preserve"> </v>
      </c>
    </row>
    <row r="247" spans="1:3" x14ac:dyDescent="0.3">
      <c r="A247" s="3">
        <v>67.507229752913616</v>
      </c>
      <c r="B247" s="4">
        <v>4</v>
      </c>
      <c r="C247" s="3" t="str">
        <f t="shared" si="3"/>
        <v xml:space="preserve"> </v>
      </c>
    </row>
    <row r="248" spans="1:3" x14ac:dyDescent="0.3">
      <c r="A248" s="3">
        <v>28.345466995209165</v>
      </c>
      <c r="B248" s="4">
        <v>4</v>
      </c>
      <c r="C248" s="3" t="str">
        <f t="shared" si="3"/>
        <v xml:space="preserve"> </v>
      </c>
    </row>
    <row r="249" spans="1:3" x14ac:dyDescent="0.3">
      <c r="A249" s="3">
        <v>45.341733869162809</v>
      </c>
      <c r="B249" s="4">
        <v>1</v>
      </c>
      <c r="C249" s="3">
        <f t="shared" si="3"/>
        <v>45.341733869162809</v>
      </c>
    </row>
    <row r="250" spans="1:3" x14ac:dyDescent="0.3">
      <c r="A250" s="3">
        <v>47.054908588043027</v>
      </c>
      <c r="B250" s="4">
        <v>2</v>
      </c>
      <c r="C250" s="3" t="str">
        <f t="shared" si="3"/>
        <v xml:space="preserve"> </v>
      </c>
    </row>
    <row r="251" spans="1:3" x14ac:dyDescent="0.3">
      <c r="A251" s="3">
        <v>33.804908221881291</v>
      </c>
      <c r="B251" s="4">
        <v>2</v>
      </c>
      <c r="C251" s="3" t="str">
        <f t="shared" si="3"/>
        <v xml:space="preserve"> </v>
      </c>
    </row>
  </sheetData>
  <conditionalFormatting sqref="B2">
    <cfRule type="cellIs" dxfId="1" priority="2" operator="equal">
      <formula>1</formula>
    </cfRule>
  </conditionalFormatting>
  <conditionalFormatting sqref="B2:B251">
    <cfRule type="cellIs" dxfId="0" priority="1" operator="equal">
      <formula>1</formula>
    </cfRule>
  </conditionalFormatting>
  <dataValidations disablePrompts="1" count="1">
    <dataValidation type="whole" allowBlank="1" showInputMessage="1" showErrorMessage="1" sqref="D2" xr:uid="{F6AA9F2B-9368-4BA1-9EF3-D79B3F0036BE}">
      <formula1>1</formula1>
      <formula2>4</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8341-2186-4017-AC25-670956C24986}">
  <dimension ref="A1:M29"/>
  <sheetViews>
    <sheetView showGridLines="0" workbookViewId="0">
      <selection activeCell="B7" sqref="B7"/>
    </sheetView>
  </sheetViews>
  <sheetFormatPr defaultRowHeight="14.4" x14ac:dyDescent="0.3"/>
  <cols>
    <col min="1" max="1" width="30.6640625" bestFit="1" customWidth="1"/>
    <col min="2" max="2" width="8" bestFit="1" customWidth="1"/>
    <col min="3" max="3" width="9.109375" bestFit="1" customWidth="1"/>
    <col min="4" max="4" width="22.6640625" bestFit="1" customWidth="1"/>
    <col min="5" max="5" width="28.33203125" bestFit="1" customWidth="1"/>
    <col min="6" max="6" width="21.77734375" bestFit="1" customWidth="1"/>
  </cols>
  <sheetData>
    <row r="1" spans="1:13" ht="15" thickBot="1" x14ac:dyDescent="0.35">
      <c r="B1" s="6"/>
    </row>
    <row r="2" spans="1:13" ht="19.8" customHeight="1" thickTop="1" thickBot="1" x14ac:dyDescent="0.5">
      <c r="A2" s="10" t="s">
        <v>11</v>
      </c>
      <c r="B2" s="9">
        <f>SQRT(_xlfn.VAR.S(Sample!C2:C251))</f>
        <v>10.83717497343048</v>
      </c>
      <c r="D2" s="15" t="s">
        <v>18</v>
      </c>
      <c r="E2" s="15"/>
      <c r="F2" s="15"/>
      <c r="G2" s="15"/>
      <c r="H2" s="15"/>
      <c r="I2" s="15"/>
      <c r="J2" s="15"/>
      <c r="K2" s="15"/>
      <c r="L2" s="15"/>
      <c r="M2" s="15"/>
    </row>
    <row r="3" spans="1:13" ht="19.8" thickTop="1" thickBot="1" x14ac:dyDescent="0.5">
      <c r="A3" s="10" t="s">
        <v>8</v>
      </c>
      <c r="B3" s="8">
        <f>COUNT(Sample!C2:C251)</f>
        <v>62</v>
      </c>
      <c r="D3" s="15"/>
      <c r="E3" s="15"/>
      <c r="F3" s="15"/>
      <c r="G3" s="15"/>
      <c r="H3" s="15"/>
      <c r="I3" s="15"/>
      <c r="J3" s="15"/>
      <c r="K3" s="15"/>
      <c r="L3" s="15"/>
      <c r="M3" s="15"/>
    </row>
    <row r="4" spans="1:13" ht="19.8" thickTop="1" thickBot="1" x14ac:dyDescent="0.5">
      <c r="A4" s="10" t="s">
        <v>9</v>
      </c>
      <c r="B4" s="7">
        <f>AVERAGE(Sample!C2:C63)</f>
        <v>43.565405010371329</v>
      </c>
      <c r="D4" s="15"/>
      <c r="E4" s="15"/>
      <c r="F4" s="15"/>
      <c r="G4" s="15"/>
      <c r="H4" s="15"/>
      <c r="I4" s="15"/>
      <c r="J4" s="15"/>
      <c r="K4" s="15"/>
      <c r="L4" s="15"/>
      <c r="M4" s="15"/>
    </row>
    <row r="5" spans="1:13" ht="19.8" thickTop="1" thickBot="1" x14ac:dyDescent="0.5">
      <c r="A5" s="10" t="s">
        <v>5</v>
      </c>
      <c r="B5" s="7">
        <f>_xlfn.VAR.P(Data!A2:A251)</f>
        <v>112.87856826627088</v>
      </c>
      <c r="D5" s="15"/>
      <c r="E5" s="15"/>
      <c r="F5" s="15"/>
      <c r="G5" s="15"/>
      <c r="H5" s="15"/>
      <c r="I5" s="15"/>
      <c r="J5" s="15"/>
      <c r="K5" s="15"/>
      <c r="L5" s="15"/>
      <c r="M5" s="15"/>
    </row>
    <row r="6" spans="1:13" ht="19.8" thickTop="1" thickBot="1" x14ac:dyDescent="0.5">
      <c r="A6" s="10" t="s">
        <v>10</v>
      </c>
      <c r="B6" s="7">
        <f>SQRT(B5)</f>
        <v>10.624432609145341</v>
      </c>
      <c r="D6" s="15"/>
      <c r="E6" s="15"/>
      <c r="F6" s="15"/>
      <c r="G6" s="15"/>
      <c r="H6" s="15"/>
      <c r="I6" s="15"/>
      <c r="J6" s="15"/>
      <c r="K6" s="15"/>
      <c r="L6" s="15"/>
      <c r="M6" s="15"/>
    </row>
    <row r="7" spans="1:13" ht="19.8" thickTop="1" thickBot="1" x14ac:dyDescent="0.5">
      <c r="A7" s="10" t="s">
        <v>15</v>
      </c>
      <c r="B7" s="7">
        <f>B6/SQRT(B3)</f>
        <v>1.3493042906664237</v>
      </c>
      <c r="D7" s="15"/>
      <c r="E7" s="15"/>
      <c r="F7" s="15"/>
      <c r="G7" s="15"/>
      <c r="H7" s="15"/>
      <c r="I7" s="15"/>
      <c r="J7" s="15"/>
      <c r="K7" s="15"/>
      <c r="L7" s="15"/>
      <c r="M7" s="15"/>
    </row>
    <row r="8" spans="1:13" ht="19.8" thickTop="1" thickBot="1" x14ac:dyDescent="0.5">
      <c r="A8" s="10" t="s">
        <v>12</v>
      </c>
      <c r="B8" s="7">
        <v>0.95</v>
      </c>
      <c r="D8" s="15"/>
      <c r="E8" s="15"/>
      <c r="F8" s="15"/>
      <c r="G8" s="15"/>
      <c r="H8" s="15"/>
      <c r="I8" s="15"/>
      <c r="J8" s="15"/>
      <c r="K8" s="15"/>
      <c r="L8" s="15"/>
      <c r="M8" s="15"/>
    </row>
    <row r="9" spans="1:13" ht="19.8" thickTop="1" thickBot="1" x14ac:dyDescent="0.5">
      <c r="A9" s="10" t="s">
        <v>6</v>
      </c>
      <c r="B9" s="7">
        <f>1-B8</f>
        <v>5.0000000000000044E-2</v>
      </c>
      <c r="D9" s="15"/>
      <c r="E9" s="15"/>
      <c r="F9" s="15"/>
      <c r="G9" s="15"/>
      <c r="H9" s="15"/>
      <c r="I9" s="15"/>
      <c r="J9" s="15"/>
      <c r="K9" s="15"/>
      <c r="L9" s="15"/>
      <c r="M9" s="15"/>
    </row>
    <row r="10" spans="1:13" ht="19.8" thickTop="1" thickBot="1" x14ac:dyDescent="0.5">
      <c r="A10" s="10" t="s">
        <v>7</v>
      </c>
      <c r="B10" s="7">
        <f>_xlfn.NORM.S.INV(0.975)</f>
        <v>1.9599639845400536</v>
      </c>
      <c r="D10" s="15"/>
      <c r="E10" s="15"/>
      <c r="F10" s="15"/>
      <c r="G10" s="15"/>
      <c r="H10" s="15"/>
      <c r="I10" s="15"/>
      <c r="J10" s="15"/>
      <c r="K10" s="15"/>
      <c r="L10" s="15"/>
      <c r="M10" s="15"/>
    </row>
    <row r="11" spans="1:13" ht="19.8" thickTop="1" thickBot="1" x14ac:dyDescent="0.5">
      <c r="A11" s="10" t="s">
        <v>13</v>
      </c>
      <c r="B11" s="7">
        <f>B4-(B10*B7)</f>
        <v>40.920817196479774</v>
      </c>
      <c r="D11" s="15"/>
      <c r="E11" s="15"/>
      <c r="F11" s="15"/>
      <c r="G11" s="15"/>
      <c r="H11" s="15"/>
      <c r="I11" s="15"/>
      <c r="J11" s="15"/>
      <c r="K11" s="15"/>
      <c r="L11" s="15"/>
      <c r="M11" s="15"/>
    </row>
    <row r="12" spans="1:13" ht="19.8" thickTop="1" thickBot="1" x14ac:dyDescent="0.5">
      <c r="A12" s="10" t="s">
        <v>14</v>
      </c>
      <c r="B12" s="7">
        <f>B4+(B10*B7)</f>
        <v>46.209992824262883</v>
      </c>
      <c r="D12" s="15"/>
      <c r="E12" s="15"/>
      <c r="F12" s="15"/>
      <c r="G12" s="15"/>
      <c r="H12" s="15"/>
      <c r="I12" s="15"/>
      <c r="J12" s="15"/>
      <c r="K12" s="15"/>
      <c r="L12" s="15"/>
      <c r="M12" s="15"/>
    </row>
    <row r="13" spans="1:13" ht="19.8" thickTop="1" thickBot="1" x14ac:dyDescent="0.5">
      <c r="A13" s="10" t="s">
        <v>16</v>
      </c>
      <c r="B13" s="11">
        <f>2*MIN(_xlfn.Z.TEST(Sample!C2:C251,AVERAGE(Sample!A2:A251),SQRT(_xlfn.VAR.P(Sample!A2:A251))),1-_xlfn.Z.TEST(Sample!C2:C251,AVERAGE(Sample!A2:A251),SQRT(_xlfn.VAR.P(Sample!A2:A251))))</f>
        <v>0.82725250774862247</v>
      </c>
      <c r="D13" s="15"/>
      <c r="E13" s="15"/>
      <c r="F13" s="15"/>
      <c r="G13" s="15"/>
      <c r="H13" s="15"/>
      <c r="I13" s="15"/>
      <c r="J13" s="15"/>
      <c r="K13" s="15"/>
      <c r="L13" s="15"/>
      <c r="M13" s="15"/>
    </row>
    <row r="14" spans="1:13" ht="15" customHeight="1" thickTop="1" x14ac:dyDescent="0.3">
      <c r="D14" s="15"/>
      <c r="E14" s="15"/>
      <c r="F14" s="15"/>
      <c r="G14" s="15"/>
      <c r="H14" s="15"/>
      <c r="I14" s="15"/>
      <c r="J14" s="15"/>
      <c r="K14" s="15"/>
      <c r="L14" s="15"/>
      <c r="M14" s="15"/>
    </row>
    <row r="15" spans="1:13" ht="14.4" customHeight="1" x14ac:dyDescent="0.3">
      <c r="D15" s="15"/>
      <c r="E15" s="15"/>
      <c r="F15" s="15"/>
      <c r="G15" s="15"/>
      <c r="H15" s="15"/>
      <c r="I15" s="15"/>
      <c r="J15" s="15"/>
      <c r="K15" s="15"/>
      <c r="L15" s="15"/>
      <c r="M15" s="15"/>
    </row>
    <row r="16" spans="1:13" ht="14.4" customHeight="1" x14ac:dyDescent="0.3">
      <c r="D16" s="15"/>
      <c r="E16" s="15"/>
      <c r="F16" s="15"/>
      <c r="G16" s="15"/>
      <c r="H16" s="15"/>
      <c r="I16" s="15"/>
      <c r="J16" s="15"/>
      <c r="K16" s="15"/>
      <c r="L16" s="15"/>
      <c r="M16" s="15"/>
    </row>
    <row r="17" spans="4:13" ht="14.4" customHeight="1" x14ac:dyDescent="0.3">
      <c r="D17" s="15"/>
      <c r="E17" s="15"/>
      <c r="F17" s="15"/>
      <c r="G17" s="15"/>
      <c r="H17" s="15"/>
      <c r="I17" s="15"/>
      <c r="J17" s="15"/>
      <c r="K17" s="15"/>
      <c r="L17" s="15"/>
      <c r="M17" s="15"/>
    </row>
    <row r="18" spans="4:13" ht="14.4" customHeight="1" x14ac:dyDescent="0.3">
      <c r="D18" s="15"/>
      <c r="E18" s="15"/>
      <c r="F18" s="15"/>
      <c r="G18" s="15"/>
      <c r="H18" s="15"/>
      <c r="I18" s="15"/>
      <c r="J18" s="15"/>
      <c r="K18" s="15"/>
      <c r="L18" s="15"/>
      <c r="M18" s="15"/>
    </row>
    <row r="19" spans="4:13" ht="14.4" customHeight="1" x14ac:dyDescent="0.3">
      <c r="D19" s="15"/>
      <c r="E19" s="15"/>
      <c r="F19" s="15"/>
      <c r="G19" s="15"/>
      <c r="H19" s="15"/>
      <c r="I19" s="15"/>
      <c r="J19" s="15"/>
      <c r="K19" s="15"/>
      <c r="L19" s="15"/>
      <c r="M19" s="15"/>
    </row>
    <row r="20" spans="4:13" ht="14.4" customHeight="1" x14ac:dyDescent="0.3">
      <c r="D20" s="15"/>
      <c r="E20" s="15"/>
      <c r="F20" s="15"/>
      <c r="G20" s="15"/>
      <c r="H20" s="15"/>
      <c r="I20" s="15"/>
      <c r="J20" s="15"/>
      <c r="K20" s="15"/>
      <c r="L20" s="15"/>
      <c r="M20" s="15"/>
    </row>
    <row r="21" spans="4:13" ht="14.4" customHeight="1" x14ac:dyDescent="0.3">
      <c r="D21" s="15"/>
      <c r="E21" s="15"/>
      <c r="F21" s="15"/>
      <c r="G21" s="15"/>
      <c r="H21" s="15"/>
      <c r="I21" s="15"/>
      <c r="J21" s="15"/>
      <c r="K21" s="15"/>
      <c r="L21" s="15"/>
      <c r="M21" s="15"/>
    </row>
    <row r="22" spans="4:13" ht="14.4" customHeight="1" x14ac:dyDescent="0.3">
      <c r="D22" s="15"/>
      <c r="E22" s="15"/>
      <c r="F22" s="15"/>
      <c r="G22" s="15"/>
      <c r="H22" s="15"/>
      <c r="I22" s="15"/>
      <c r="J22" s="15"/>
      <c r="K22" s="15"/>
      <c r="L22" s="15"/>
      <c r="M22" s="15"/>
    </row>
    <row r="23" spans="4:13" ht="14.4" customHeight="1" x14ac:dyDescent="0.3">
      <c r="D23" s="15"/>
      <c r="E23" s="15"/>
      <c r="F23" s="15"/>
      <c r="G23" s="15"/>
      <c r="H23" s="15"/>
      <c r="I23" s="15"/>
      <c r="J23" s="15"/>
      <c r="K23" s="15"/>
      <c r="L23" s="15"/>
      <c r="M23" s="15"/>
    </row>
    <row r="24" spans="4:13" ht="14.4" customHeight="1" x14ac:dyDescent="0.3">
      <c r="D24" s="15"/>
      <c r="E24" s="15"/>
      <c r="F24" s="15"/>
      <c r="G24" s="15"/>
      <c r="H24" s="15"/>
      <c r="I24" s="15"/>
      <c r="J24" s="15"/>
      <c r="K24" s="15"/>
      <c r="L24" s="15"/>
      <c r="M24" s="15"/>
    </row>
    <row r="25" spans="4:13" ht="14.4" customHeight="1" x14ac:dyDescent="0.3">
      <c r="D25" s="12"/>
      <c r="E25" s="12"/>
      <c r="F25" s="12"/>
      <c r="G25" s="12"/>
      <c r="H25" s="12"/>
      <c r="I25" s="12"/>
      <c r="J25" s="12"/>
      <c r="K25" s="12"/>
      <c r="L25" s="12"/>
      <c r="M25" s="12"/>
    </row>
    <row r="26" spans="4:13" ht="14.4" customHeight="1" x14ac:dyDescent="0.3">
      <c r="D26" s="12"/>
      <c r="E26" s="12"/>
      <c r="F26" s="12"/>
      <c r="G26" s="12"/>
      <c r="H26" s="12"/>
      <c r="I26" s="12"/>
      <c r="J26" s="12"/>
      <c r="K26" s="12"/>
      <c r="L26" s="12"/>
      <c r="M26" s="12"/>
    </row>
    <row r="27" spans="4:13" ht="14.4" customHeight="1" x14ac:dyDescent="0.3">
      <c r="D27" s="12"/>
      <c r="E27" s="12"/>
      <c r="F27" s="12"/>
      <c r="G27" s="12"/>
      <c r="H27" s="12"/>
      <c r="I27" s="12"/>
      <c r="J27" s="12"/>
      <c r="K27" s="12"/>
      <c r="L27" s="12"/>
      <c r="M27" s="12"/>
    </row>
    <row r="28" spans="4:13" ht="14.4" customHeight="1" x14ac:dyDescent="0.3">
      <c r="D28" s="12"/>
      <c r="E28" s="12"/>
      <c r="F28" s="12"/>
      <c r="G28" s="12"/>
      <c r="H28" s="12"/>
      <c r="I28" s="12"/>
      <c r="J28" s="12"/>
      <c r="K28" s="12"/>
      <c r="L28" s="12"/>
      <c r="M28" s="12"/>
    </row>
    <row r="29" spans="4:13" ht="14.4" customHeight="1" x14ac:dyDescent="0.3">
      <c r="D29" s="12"/>
      <c r="E29" s="12"/>
      <c r="F29" s="12"/>
      <c r="G29" s="12"/>
      <c r="H29" s="12"/>
      <c r="I29" s="12"/>
      <c r="J29" s="12"/>
      <c r="K29" s="12"/>
      <c r="L29" s="12"/>
      <c r="M29" s="12"/>
    </row>
  </sheetData>
  <mergeCells count="1">
    <mergeCell ref="D2:M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F71C0-712A-4470-8BAC-8D14DABC00C0}">
  <dimension ref="A1:V63"/>
  <sheetViews>
    <sheetView showGridLines="0" zoomScaleNormal="100" workbookViewId="0">
      <selection activeCell="S23" sqref="S23"/>
    </sheetView>
  </sheetViews>
  <sheetFormatPr defaultRowHeight="14.4" x14ac:dyDescent="0.3"/>
  <cols>
    <col min="1" max="1" width="13.5546875" bestFit="1" customWidth="1"/>
    <col min="2" max="2" width="17.33203125" bestFit="1" customWidth="1"/>
    <col min="3" max="3" width="16.5546875" bestFit="1" customWidth="1"/>
    <col min="15" max="15" width="12.109375" bestFit="1" customWidth="1"/>
  </cols>
  <sheetData>
    <row r="1" spans="1:22" ht="19.8" thickTop="1" thickBot="1" x14ac:dyDescent="0.5">
      <c r="A1" s="5" t="s">
        <v>19</v>
      </c>
      <c r="B1" s="5" t="s">
        <v>20</v>
      </c>
      <c r="C1" s="5" t="s">
        <v>21</v>
      </c>
    </row>
    <row r="2" spans="1:22" ht="19.8" thickTop="1" thickBot="1" x14ac:dyDescent="0.5">
      <c r="A2" s="3">
        <v>74.058080290343867</v>
      </c>
      <c r="B2" s="13">
        <v>5</v>
      </c>
      <c r="C2" s="13">
        <v>48</v>
      </c>
      <c r="O2" s="5" t="s">
        <v>22</v>
      </c>
      <c r="P2" s="13">
        <f>_xlfn.COVARIANCE.S(A2:A63,B2:B63)</f>
        <v>-2.3024714332410703</v>
      </c>
    </row>
    <row r="3" spans="1:22" ht="19.8" thickTop="1" thickBot="1" x14ac:dyDescent="0.5">
      <c r="A3" s="3">
        <v>41.264322093905861</v>
      </c>
      <c r="B3" s="13">
        <v>1</v>
      </c>
      <c r="C3" s="13">
        <v>34</v>
      </c>
      <c r="O3" s="5" t="s">
        <v>23</v>
      </c>
      <c r="P3" s="13">
        <f>PEARSON(A2:A63,B2:B63)</f>
        <v>-0.12284289249130376</v>
      </c>
    </row>
    <row r="4" spans="1:22" ht="15" thickTop="1" x14ac:dyDescent="0.3">
      <c r="A4" s="3">
        <v>47.419484673348954</v>
      </c>
      <c r="B4" s="13">
        <v>4</v>
      </c>
      <c r="C4" s="13">
        <v>40</v>
      </c>
    </row>
    <row r="5" spans="1:22" ht="14.4" customHeight="1" x14ac:dyDescent="0.3">
      <c r="A5" s="3">
        <v>44.539427805401246</v>
      </c>
      <c r="B5" s="13">
        <v>2</v>
      </c>
      <c r="C5" s="13">
        <v>51</v>
      </c>
      <c r="O5" s="16" t="s">
        <v>29</v>
      </c>
      <c r="P5" s="17"/>
      <c r="Q5" s="17"/>
      <c r="R5" s="17"/>
      <c r="S5" s="17"/>
      <c r="T5" s="17"/>
      <c r="U5" s="17"/>
      <c r="V5" s="18"/>
    </row>
    <row r="6" spans="1:22" x14ac:dyDescent="0.3">
      <c r="A6" s="3">
        <v>38.322041337350541</v>
      </c>
      <c r="B6" s="13">
        <v>2</v>
      </c>
      <c r="C6" s="13">
        <v>50</v>
      </c>
      <c r="O6" s="19"/>
      <c r="P6" s="20"/>
      <c r="Q6" s="20"/>
      <c r="R6" s="20"/>
      <c r="S6" s="20"/>
      <c r="T6" s="20"/>
      <c r="U6" s="20"/>
      <c r="V6" s="21"/>
    </row>
    <row r="7" spans="1:22" x14ac:dyDescent="0.3">
      <c r="A7" s="3">
        <v>46.400955943840358</v>
      </c>
      <c r="B7" s="13">
        <v>5</v>
      </c>
      <c r="C7" s="13">
        <v>49</v>
      </c>
      <c r="O7" s="19"/>
      <c r="P7" s="20"/>
      <c r="Q7" s="20"/>
      <c r="R7" s="20"/>
      <c r="S7" s="20"/>
      <c r="T7" s="20"/>
      <c r="U7" s="20"/>
      <c r="V7" s="21"/>
    </row>
    <row r="8" spans="1:22" x14ac:dyDescent="0.3">
      <c r="A8" s="3">
        <v>47.259858856446407</v>
      </c>
      <c r="B8" s="13">
        <v>5</v>
      </c>
      <c r="C8" s="13">
        <v>44</v>
      </c>
      <c r="O8" s="19"/>
      <c r="P8" s="20"/>
      <c r="Q8" s="20"/>
      <c r="R8" s="20"/>
      <c r="S8" s="20"/>
      <c r="T8" s="20"/>
      <c r="U8" s="20"/>
      <c r="V8" s="21"/>
    </row>
    <row r="9" spans="1:22" x14ac:dyDescent="0.3">
      <c r="A9" s="3">
        <v>26.783504447135488</v>
      </c>
      <c r="B9" s="13">
        <v>1</v>
      </c>
      <c r="C9" s="13">
        <v>49</v>
      </c>
      <c r="O9" s="19"/>
      <c r="P9" s="20"/>
      <c r="Q9" s="20"/>
      <c r="R9" s="20"/>
      <c r="S9" s="20"/>
      <c r="T9" s="20"/>
      <c r="U9" s="20"/>
      <c r="V9" s="21"/>
    </row>
    <row r="10" spans="1:22" x14ac:dyDescent="0.3">
      <c r="A10" s="3">
        <v>38.298057013364549</v>
      </c>
      <c r="B10" s="13">
        <v>3</v>
      </c>
      <c r="C10" s="13">
        <v>78</v>
      </c>
      <c r="O10" s="19"/>
      <c r="P10" s="20"/>
      <c r="Q10" s="20"/>
      <c r="R10" s="20"/>
      <c r="S10" s="20"/>
      <c r="T10" s="20"/>
      <c r="U10" s="20"/>
      <c r="V10" s="21"/>
    </row>
    <row r="11" spans="1:22" x14ac:dyDescent="0.3">
      <c r="A11" s="3">
        <v>33.39812826578877</v>
      </c>
      <c r="B11" s="13">
        <v>5</v>
      </c>
      <c r="C11" s="13">
        <v>79</v>
      </c>
      <c r="O11" s="19"/>
      <c r="P11" s="20"/>
      <c r="Q11" s="20"/>
      <c r="R11" s="20"/>
      <c r="S11" s="20"/>
      <c r="T11" s="20"/>
      <c r="U11" s="20"/>
      <c r="V11" s="21"/>
    </row>
    <row r="12" spans="1:22" x14ac:dyDescent="0.3">
      <c r="A12" s="3">
        <v>45.358943540650955</v>
      </c>
      <c r="B12" s="13">
        <v>0</v>
      </c>
      <c r="C12" s="13">
        <v>59</v>
      </c>
      <c r="O12" s="19"/>
      <c r="P12" s="20"/>
      <c r="Q12" s="20"/>
      <c r="R12" s="20"/>
      <c r="S12" s="20"/>
      <c r="T12" s="20"/>
      <c r="U12" s="20"/>
      <c r="V12" s="21"/>
    </row>
    <row r="13" spans="1:22" x14ac:dyDescent="0.3">
      <c r="A13" s="3">
        <v>50.632620297160514</v>
      </c>
      <c r="B13" s="13">
        <v>4</v>
      </c>
      <c r="C13" s="13">
        <v>58</v>
      </c>
      <c r="O13" s="19"/>
      <c r="P13" s="20"/>
      <c r="Q13" s="20"/>
      <c r="R13" s="20"/>
      <c r="S13" s="20"/>
      <c r="T13" s="20"/>
      <c r="U13" s="20"/>
      <c r="V13" s="21"/>
    </row>
    <row r="14" spans="1:22" x14ac:dyDescent="0.3">
      <c r="A14" s="3">
        <v>31.422227409123785</v>
      </c>
      <c r="B14" s="13">
        <v>2</v>
      </c>
      <c r="C14" s="13">
        <v>33</v>
      </c>
      <c r="O14" s="19"/>
      <c r="P14" s="20"/>
      <c r="Q14" s="20"/>
      <c r="R14" s="20"/>
      <c r="S14" s="20"/>
      <c r="T14" s="20"/>
      <c r="U14" s="20"/>
      <c r="V14" s="21"/>
    </row>
    <row r="15" spans="1:22" x14ac:dyDescent="0.3">
      <c r="A15" s="3">
        <v>44.758018171337334</v>
      </c>
      <c r="B15" s="13">
        <v>4</v>
      </c>
      <c r="C15" s="13">
        <v>66</v>
      </c>
      <c r="O15" s="19"/>
      <c r="P15" s="20"/>
      <c r="Q15" s="20"/>
      <c r="R15" s="20"/>
      <c r="S15" s="20"/>
      <c r="T15" s="20"/>
      <c r="U15" s="20"/>
      <c r="V15" s="21"/>
    </row>
    <row r="16" spans="1:22" x14ac:dyDescent="0.3">
      <c r="A16" s="3">
        <v>55.775016580361566</v>
      </c>
      <c r="B16" s="13">
        <v>1</v>
      </c>
      <c r="C16" s="13">
        <v>51</v>
      </c>
      <c r="O16" s="19"/>
      <c r="P16" s="20"/>
      <c r="Q16" s="20"/>
      <c r="R16" s="20"/>
      <c r="S16" s="20"/>
      <c r="T16" s="20"/>
      <c r="U16" s="20"/>
      <c r="V16" s="21"/>
    </row>
    <row r="17" spans="1:22" x14ac:dyDescent="0.3">
      <c r="A17" s="3">
        <v>47.539830032614702</v>
      </c>
      <c r="B17" s="13">
        <v>2</v>
      </c>
      <c r="C17" s="13">
        <v>80</v>
      </c>
      <c r="O17" s="19"/>
      <c r="P17" s="20"/>
      <c r="Q17" s="20"/>
      <c r="R17" s="20"/>
      <c r="S17" s="20"/>
      <c r="T17" s="20"/>
      <c r="U17" s="20"/>
      <c r="V17" s="21"/>
    </row>
    <row r="18" spans="1:22" x14ac:dyDescent="0.3">
      <c r="A18" s="3">
        <v>41.755300372804022</v>
      </c>
      <c r="B18" s="13">
        <v>5</v>
      </c>
      <c r="C18" s="13">
        <v>23</v>
      </c>
      <c r="G18" s="14"/>
      <c r="H18" s="14"/>
      <c r="I18" s="14"/>
      <c r="J18" s="14"/>
      <c r="K18" s="14"/>
      <c r="L18" s="14"/>
      <c r="M18" s="14"/>
      <c r="N18" s="14"/>
      <c r="O18" s="19"/>
      <c r="P18" s="20"/>
      <c r="Q18" s="20"/>
      <c r="R18" s="20"/>
      <c r="S18" s="20"/>
      <c r="T18" s="20"/>
      <c r="U18" s="20"/>
      <c r="V18" s="21"/>
    </row>
    <row r="19" spans="1:22" x14ac:dyDescent="0.3">
      <c r="A19" s="3">
        <v>46.163168773755615</v>
      </c>
      <c r="B19" s="13">
        <v>3</v>
      </c>
      <c r="C19" s="13">
        <v>39</v>
      </c>
      <c r="G19" s="14"/>
      <c r="H19" s="14"/>
      <c r="I19" s="14"/>
      <c r="J19" s="14"/>
      <c r="K19" s="14"/>
      <c r="L19" s="14"/>
      <c r="M19" s="14"/>
      <c r="N19" s="14"/>
      <c r="O19" s="22"/>
      <c r="P19" s="23"/>
      <c r="Q19" s="23"/>
      <c r="R19" s="23"/>
      <c r="S19" s="23"/>
      <c r="T19" s="23"/>
      <c r="U19" s="23"/>
      <c r="V19" s="24"/>
    </row>
    <row r="20" spans="1:22" x14ac:dyDescent="0.3">
      <c r="A20" s="3">
        <v>46.136788585204464</v>
      </c>
      <c r="B20" s="13">
        <v>1</v>
      </c>
      <c r="C20" s="13">
        <v>60</v>
      </c>
      <c r="G20" s="14"/>
      <c r="H20" s="14"/>
      <c r="I20" s="14"/>
      <c r="J20" s="14"/>
      <c r="K20" s="14"/>
      <c r="L20" s="14"/>
      <c r="M20" s="14"/>
      <c r="N20" s="14"/>
      <c r="O20" s="14"/>
      <c r="P20" s="14"/>
      <c r="Q20" s="14"/>
      <c r="R20" s="14"/>
      <c r="S20" s="14"/>
      <c r="T20" s="14"/>
      <c r="U20" s="14"/>
      <c r="V20" s="14"/>
    </row>
    <row r="21" spans="1:22" x14ac:dyDescent="0.3">
      <c r="A21" s="3">
        <v>57.167625279304289</v>
      </c>
      <c r="B21" s="13">
        <v>1</v>
      </c>
      <c r="C21" s="13">
        <v>32</v>
      </c>
      <c r="G21" s="14"/>
      <c r="H21" s="14"/>
      <c r="I21" s="14"/>
      <c r="J21" s="14"/>
      <c r="K21" s="14"/>
      <c r="L21" s="14"/>
      <c r="M21" s="14"/>
      <c r="N21" s="14"/>
      <c r="O21" s="14"/>
      <c r="P21" s="14"/>
      <c r="Q21" s="14"/>
      <c r="R21" s="14"/>
      <c r="S21" s="14"/>
      <c r="T21" s="14"/>
      <c r="U21" s="14"/>
      <c r="V21" s="14"/>
    </row>
    <row r="22" spans="1:22" ht="15" thickBot="1" x14ac:dyDescent="0.35">
      <c r="A22" s="3">
        <v>45.807149417815964</v>
      </c>
      <c r="B22" s="13">
        <v>3</v>
      </c>
      <c r="C22" s="13">
        <v>54</v>
      </c>
      <c r="G22" s="14"/>
      <c r="H22" s="14"/>
      <c r="I22" s="14"/>
      <c r="J22" s="14"/>
      <c r="K22" s="14"/>
      <c r="L22" s="14"/>
      <c r="M22" s="14"/>
      <c r="N22" s="14"/>
    </row>
    <row r="23" spans="1:22" ht="19.8" thickTop="1" thickBot="1" x14ac:dyDescent="0.5">
      <c r="A23" s="3">
        <v>54.417109697371473</v>
      </c>
      <c r="B23" s="13">
        <v>0</v>
      </c>
      <c r="C23" s="13">
        <v>23</v>
      </c>
      <c r="G23" s="14"/>
      <c r="H23" s="14"/>
      <c r="I23" s="14"/>
      <c r="J23" s="14"/>
      <c r="K23" s="14"/>
      <c r="L23" s="14"/>
      <c r="M23" s="14"/>
      <c r="N23" s="14"/>
      <c r="O23" s="5" t="s">
        <v>22</v>
      </c>
      <c r="P23" s="13">
        <f>_xlfn.COVARIANCE.S(A2:A63,C2:C63)</f>
        <v>-38.626699447677787</v>
      </c>
    </row>
    <row r="24" spans="1:22" ht="19.8" thickTop="1" thickBot="1" x14ac:dyDescent="0.5">
      <c r="A24" s="3">
        <v>22.795715125199802</v>
      </c>
      <c r="B24" s="13">
        <v>3</v>
      </c>
      <c r="C24" s="13">
        <v>50</v>
      </c>
      <c r="G24" s="14"/>
      <c r="H24" s="14"/>
      <c r="I24" s="14"/>
      <c r="J24" s="14"/>
      <c r="K24" s="14"/>
      <c r="L24" s="14"/>
      <c r="M24" s="14"/>
      <c r="N24" s="14"/>
      <c r="O24" s="5" t="s">
        <v>23</v>
      </c>
      <c r="P24" s="13">
        <f>PEARSON(A2:A63,C2:C63)</f>
        <v>-0.20852579470100358</v>
      </c>
    </row>
    <row r="25" spans="1:22" ht="15" thickTop="1" x14ac:dyDescent="0.3">
      <c r="A25" s="3">
        <v>47.065535987975778</v>
      </c>
      <c r="B25" s="13">
        <v>0</v>
      </c>
      <c r="C25" s="13">
        <v>60</v>
      </c>
    </row>
    <row r="26" spans="1:22" x14ac:dyDescent="0.3">
      <c r="A26" s="3">
        <v>38.913860242410195</v>
      </c>
      <c r="B26" s="13">
        <v>2</v>
      </c>
      <c r="C26" s="13">
        <v>73</v>
      </c>
    </row>
    <row r="27" spans="1:22" ht="14.4" customHeight="1" x14ac:dyDescent="0.3">
      <c r="A27" s="3">
        <v>40.27514638035062</v>
      </c>
      <c r="B27" s="13">
        <v>0</v>
      </c>
      <c r="C27" s="13">
        <v>21</v>
      </c>
      <c r="O27" s="26" t="s">
        <v>24</v>
      </c>
      <c r="P27" s="26"/>
      <c r="Q27" s="26"/>
      <c r="R27" s="26"/>
      <c r="S27" s="26"/>
      <c r="T27" s="26"/>
      <c r="U27" s="26"/>
      <c r="V27" s="26"/>
    </row>
    <row r="28" spans="1:22" x14ac:dyDescent="0.3">
      <c r="A28" s="3">
        <v>46.295952087315186</v>
      </c>
      <c r="B28" s="13">
        <v>1</v>
      </c>
      <c r="C28" s="13">
        <v>21</v>
      </c>
      <c r="O28" s="26"/>
      <c r="P28" s="26"/>
      <c r="Q28" s="26"/>
      <c r="R28" s="26"/>
      <c r="S28" s="26"/>
      <c r="T28" s="26"/>
      <c r="U28" s="26"/>
      <c r="V28" s="26"/>
    </row>
    <row r="29" spans="1:22" x14ac:dyDescent="0.3">
      <c r="A29" s="3">
        <v>24.251851405354174</v>
      </c>
      <c r="B29" s="13">
        <v>0</v>
      </c>
      <c r="C29" s="13">
        <v>35</v>
      </c>
      <c r="O29" s="26"/>
      <c r="P29" s="26"/>
      <c r="Q29" s="26"/>
      <c r="R29" s="26"/>
      <c r="S29" s="26"/>
      <c r="T29" s="26"/>
      <c r="U29" s="26"/>
      <c r="V29" s="26"/>
    </row>
    <row r="30" spans="1:22" x14ac:dyDescent="0.3">
      <c r="A30" s="3">
        <v>48.114629308608926</v>
      </c>
      <c r="B30" s="13">
        <v>2</v>
      </c>
      <c r="C30" s="13">
        <v>77</v>
      </c>
      <c r="O30" s="26"/>
      <c r="P30" s="26"/>
      <c r="Q30" s="26"/>
      <c r="R30" s="26"/>
      <c r="S30" s="26"/>
      <c r="T30" s="26"/>
      <c r="U30" s="26"/>
      <c r="V30" s="26"/>
    </row>
    <row r="31" spans="1:22" x14ac:dyDescent="0.3">
      <c r="A31" s="3">
        <v>53.901288728179637</v>
      </c>
      <c r="B31" s="13">
        <v>0</v>
      </c>
      <c r="C31" s="13">
        <v>32</v>
      </c>
      <c r="O31" s="26"/>
      <c r="P31" s="26"/>
      <c r="Q31" s="26"/>
      <c r="R31" s="26"/>
      <c r="S31" s="26"/>
      <c r="T31" s="26"/>
      <c r="U31" s="26"/>
      <c r="V31" s="26"/>
    </row>
    <row r="32" spans="1:22" x14ac:dyDescent="0.3">
      <c r="A32" s="3">
        <v>41.96689139564964</v>
      </c>
      <c r="B32" s="13">
        <v>4</v>
      </c>
      <c r="C32" s="13">
        <v>44</v>
      </c>
      <c r="O32" s="26"/>
      <c r="P32" s="26"/>
      <c r="Q32" s="26"/>
      <c r="R32" s="26"/>
      <c r="S32" s="26"/>
      <c r="T32" s="26"/>
      <c r="U32" s="26"/>
      <c r="V32" s="26"/>
    </row>
    <row r="33" spans="1:22" x14ac:dyDescent="0.3">
      <c r="A33" s="3">
        <v>63.230234035411172</v>
      </c>
      <c r="B33" s="13">
        <v>5</v>
      </c>
      <c r="C33" s="13">
        <v>23</v>
      </c>
      <c r="O33" s="26"/>
      <c r="P33" s="26"/>
      <c r="Q33" s="26"/>
      <c r="R33" s="26"/>
      <c r="S33" s="26"/>
      <c r="T33" s="26"/>
      <c r="U33" s="26"/>
      <c r="V33" s="26"/>
    </row>
    <row r="34" spans="1:22" x14ac:dyDescent="0.3">
      <c r="A34" s="3">
        <v>58.315436141465504</v>
      </c>
      <c r="B34" s="13">
        <v>2</v>
      </c>
      <c r="C34" s="13">
        <v>37</v>
      </c>
      <c r="O34" s="26"/>
      <c r="P34" s="26"/>
      <c r="Q34" s="26"/>
      <c r="R34" s="26"/>
      <c r="S34" s="26"/>
      <c r="T34" s="26"/>
      <c r="U34" s="26"/>
      <c r="V34" s="26"/>
    </row>
    <row r="35" spans="1:22" x14ac:dyDescent="0.3">
      <c r="A35" s="3">
        <v>53.211086232033729</v>
      </c>
      <c r="B35" s="13">
        <v>1</v>
      </c>
      <c r="C35" s="13">
        <v>36</v>
      </c>
      <c r="O35" s="26"/>
      <c r="P35" s="26"/>
      <c r="Q35" s="26"/>
      <c r="R35" s="26"/>
      <c r="S35" s="26"/>
      <c r="T35" s="26"/>
      <c r="U35" s="26"/>
      <c r="V35" s="26"/>
    </row>
    <row r="36" spans="1:22" x14ac:dyDescent="0.3">
      <c r="A36" s="3">
        <v>48.239722186811051</v>
      </c>
      <c r="B36" s="13">
        <v>4</v>
      </c>
      <c r="C36" s="13">
        <v>51</v>
      </c>
      <c r="O36" s="26"/>
      <c r="P36" s="26"/>
      <c r="Q36" s="26"/>
      <c r="R36" s="26"/>
      <c r="S36" s="26"/>
      <c r="T36" s="26"/>
      <c r="U36" s="26"/>
      <c r="V36" s="26"/>
    </row>
    <row r="37" spans="1:22" x14ac:dyDescent="0.3">
      <c r="A37" s="3">
        <v>45.58286487284655</v>
      </c>
      <c r="B37" s="13">
        <v>5</v>
      </c>
      <c r="C37" s="13">
        <v>59</v>
      </c>
      <c r="O37" s="26"/>
      <c r="P37" s="26"/>
      <c r="Q37" s="26"/>
      <c r="R37" s="26"/>
      <c r="S37" s="26"/>
      <c r="T37" s="26"/>
      <c r="U37" s="26"/>
      <c r="V37" s="26"/>
    </row>
    <row r="38" spans="1:22" x14ac:dyDescent="0.3">
      <c r="A38" s="3">
        <v>62.634354224068289</v>
      </c>
      <c r="B38" s="13">
        <v>1</v>
      </c>
      <c r="C38" s="13">
        <v>65</v>
      </c>
      <c r="O38" s="25"/>
      <c r="P38" s="25"/>
      <c r="Q38" s="25"/>
      <c r="R38" s="25"/>
      <c r="S38" s="25"/>
      <c r="T38" s="25"/>
      <c r="U38" s="25"/>
      <c r="V38" s="25"/>
    </row>
    <row r="39" spans="1:22" x14ac:dyDescent="0.3">
      <c r="A39" s="3">
        <v>43.145385849222947</v>
      </c>
      <c r="B39" s="13">
        <v>4</v>
      </c>
      <c r="C39" s="13">
        <v>66</v>
      </c>
      <c r="O39" s="25"/>
      <c r="P39" s="25"/>
      <c r="Q39" s="25"/>
      <c r="R39" s="25"/>
      <c r="S39" s="25"/>
      <c r="T39" s="25"/>
      <c r="U39" s="25"/>
      <c r="V39" s="25"/>
    </row>
    <row r="40" spans="1:22" x14ac:dyDescent="0.3">
      <c r="A40" s="3">
        <v>33.767943593027681</v>
      </c>
      <c r="B40" s="13">
        <v>4</v>
      </c>
      <c r="C40" s="13">
        <v>55</v>
      </c>
      <c r="O40" s="25"/>
      <c r="P40" s="25"/>
      <c r="Q40" s="25"/>
      <c r="R40" s="25"/>
      <c r="S40" s="25"/>
      <c r="T40" s="25"/>
      <c r="U40" s="25"/>
      <c r="V40" s="25"/>
    </row>
    <row r="41" spans="1:22" x14ac:dyDescent="0.3">
      <c r="A41" s="3">
        <v>41.149067972700578</v>
      </c>
      <c r="B41" s="13">
        <v>2</v>
      </c>
      <c r="C41" s="13">
        <v>59</v>
      </c>
    </row>
    <row r="42" spans="1:22" x14ac:dyDescent="0.3">
      <c r="A42" s="3">
        <v>46.802318015155699</v>
      </c>
      <c r="B42" s="13">
        <v>0</v>
      </c>
      <c r="C42" s="13">
        <v>77</v>
      </c>
    </row>
    <row r="43" spans="1:22" x14ac:dyDescent="0.3">
      <c r="A43" s="3">
        <v>25.083310867852131</v>
      </c>
      <c r="B43" s="13">
        <v>2</v>
      </c>
      <c r="C43" s="13">
        <v>62</v>
      </c>
      <c r="F43" s="26" t="s">
        <v>25</v>
      </c>
      <c r="G43" s="26"/>
      <c r="H43" s="26"/>
      <c r="I43" s="26"/>
      <c r="J43" s="26"/>
      <c r="K43" s="26"/>
      <c r="L43" s="26"/>
      <c r="M43" s="26"/>
      <c r="N43" s="26"/>
      <c r="O43" s="26"/>
      <c r="P43" s="26"/>
      <c r="Q43" s="26"/>
      <c r="R43" s="26"/>
      <c r="S43" s="26"/>
      <c r="T43" s="26"/>
      <c r="U43" s="26"/>
      <c r="V43" s="26"/>
    </row>
    <row r="44" spans="1:22" x14ac:dyDescent="0.3">
      <c r="A44" s="3">
        <v>44.128607780461948</v>
      </c>
      <c r="B44" s="13">
        <v>5</v>
      </c>
      <c r="C44" s="13">
        <v>69</v>
      </c>
      <c r="F44" s="26"/>
      <c r="G44" s="26"/>
      <c r="H44" s="26"/>
      <c r="I44" s="26"/>
      <c r="J44" s="26"/>
      <c r="K44" s="26"/>
      <c r="L44" s="26"/>
      <c r="M44" s="26"/>
      <c r="N44" s="26"/>
      <c r="O44" s="26"/>
      <c r="P44" s="26"/>
      <c r="Q44" s="26"/>
      <c r="R44" s="26"/>
      <c r="S44" s="26"/>
      <c r="T44" s="26"/>
      <c r="U44" s="26"/>
      <c r="V44" s="26"/>
    </row>
    <row r="45" spans="1:22" x14ac:dyDescent="0.3">
      <c r="A45" s="3">
        <v>61.186051635638165</v>
      </c>
      <c r="B45" s="13">
        <v>0</v>
      </c>
      <c r="C45" s="13">
        <v>62</v>
      </c>
      <c r="F45" s="26"/>
      <c r="G45" s="26"/>
      <c r="H45" s="26"/>
      <c r="I45" s="26"/>
      <c r="J45" s="26"/>
      <c r="K45" s="26"/>
      <c r="L45" s="26"/>
      <c r="M45" s="26"/>
      <c r="N45" s="26"/>
      <c r="O45" s="26"/>
      <c r="P45" s="26"/>
      <c r="Q45" s="26"/>
      <c r="R45" s="26"/>
      <c r="S45" s="26"/>
      <c r="T45" s="26"/>
      <c r="U45" s="26"/>
      <c r="V45" s="26"/>
    </row>
    <row r="46" spans="1:22" x14ac:dyDescent="0.3">
      <c r="A46" s="3">
        <v>32.044498584824041</v>
      </c>
      <c r="B46" s="13">
        <v>2</v>
      </c>
      <c r="C46" s="13">
        <v>60</v>
      </c>
    </row>
    <row r="47" spans="1:22" x14ac:dyDescent="0.3">
      <c r="A47" s="3">
        <v>48.164289303580041</v>
      </c>
      <c r="B47" s="13">
        <v>3</v>
      </c>
      <c r="C47" s="13">
        <v>78</v>
      </c>
    </row>
    <row r="48" spans="1:22" x14ac:dyDescent="0.3">
      <c r="A48" s="3">
        <v>35.761167421870091</v>
      </c>
      <c r="B48" s="13">
        <v>5</v>
      </c>
      <c r="C48" s="13">
        <v>76</v>
      </c>
    </row>
    <row r="49" spans="1:3" x14ac:dyDescent="0.3">
      <c r="A49" s="3">
        <v>36.383428915193484</v>
      </c>
      <c r="B49" s="13">
        <v>1</v>
      </c>
      <c r="C49" s="13">
        <v>63</v>
      </c>
    </row>
    <row r="50" spans="1:3" x14ac:dyDescent="0.3">
      <c r="A50" s="3">
        <v>45.946939952174993</v>
      </c>
      <c r="B50" s="13">
        <v>1</v>
      </c>
      <c r="C50" s="13">
        <v>57</v>
      </c>
    </row>
    <row r="51" spans="1:3" x14ac:dyDescent="0.3">
      <c r="A51" s="3">
        <v>50.689314516525869</v>
      </c>
      <c r="B51" s="13">
        <v>0</v>
      </c>
      <c r="C51" s="13">
        <v>65</v>
      </c>
    </row>
    <row r="52" spans="1:3" x14ac:dyDescent="0.3">
      <c r="A52" s="3">
        <v>62.973766981390817</v>
      </c>
      <c r="B52" s="13">
        <v>3</v>
      </c>
      <c r="C52" s="13">
        <v>24</v>
      </c>
    </row>
    <row r="53" spans="1:3" x14ac:dyDescent="0.3">
      <c r="A53" s="3">
        <v>63.243779864320103</v>
      </c>
      <c r="B53" s="13">
        <v>3</v>
      </c>
      <c r="C53" s="13">
        <v>27</v>
      </c>
    </row>
    <row r="54" spans="1:3" x14ac:dyDescent="0.3">
      <c r="A54" s="3">
        <v>50.464453162353827</v>
      </c>
      <c r="B54" s="13">
        <v>4</v>
      </c>
      <c r="C54" s="13">
        <v>62</v>
      </c>
    </row>
    <row r="55" spans="1:3" x14ac:dyDescent="0.3">
      <c r="A55" s="3">
        <v>25.119860153380209</v>
      </c>
      <c r="B55" s="13">
        <v>4</v>
      </c>
      <c r="C55" s="13">
        <v>74</v>
      </c>
    </row>
    <row r="56" spans="1:3" x14ac:dyDescent="0.3">
      <c r="A56" s="3">
        <v>31.9166175929536</v>
      </c>
      <c r="B56" s="13">
        <v>5</v>
      </c>
      <c r="C56" s="13">
        <v>51</v>
      </c>
    </row>
    <row r="57" spans="1:3" x14ac:dyDescent="0.3">
      <c r="A57" s="3">
        <v>44.841013550478422</v>
      </c>
      <c r="B57" s="13">
        <v>3</v>
      </c>
      <c r="C57" s="13">
        <v>33</v>
      </c>
    </row>
    <row r="58" spans="1:3" x14ac:dyDescent="0.3">
      <c r="A58" s="3">
        <v>26.821947460090666</v>
      </c>
      <c r="B58" s="13">
        <v>5</v>
      </c>
      <c r="C58" s="13">
        <v>55</v>
      </c>
    </row>
    <row r="59" spans="1:3" x14ac:dyDescent="0.3">
      <c r="A59" s="3">
        <v>47.770490232046669</v>
      </c>
      <c r="B59" s="13">
        <v>2</v>
      </c>
      <c r="C59" s="13">
        <v>64</v>
      </c>
    </row>
    <row r="60" spans="1:3" x14ac:dyDescent="0.3">
      <c r="A60" s="3">
        <v>40.691717562173388</v>
      </c>
      <c r="B60" s="13">
        <v>5</v>
      </c>
      <c r="C60" s="13">
        <v>22</v>
      </c>
    </row>
    <row r="61" spans="1:3" x14ac:dyDescent="0.3">
      <c r="A61" s="3">
        <v>33.795463555870263</v>
      </c>
      <c r="B61" s="13">
        <v>4</v>
      </c>
      <c r="C61" s="13">
        <v>45</v>
      </c>
    </row>
    <row r="62" spans="1:3" x14ac:dyDescent="0.3">
      <c r="A62" s="3">
        <v>28.209204177086111</v>
      </c>
      <c r="B62" s="13">
        <v>4</v>
      </c>
      <c r="C62" s="13">
        <v>49</v>
      </c>
    </row>
    <row r="63" spans="1:3" x14ac:dyDescent="0.3">
      <c r="A63" s="3">
        <v>45.341733869162809</v>
      </c>
      <c r="B63" s="13">
        <v>3</v>
      </c>
      <c r="C63" s="13">
        <v>69</v>
      </c>
    </row>
  </sheetData>
  <mergeCells count="3">
    <mergeCell ref="O5:V19"/>
    <mergeCell ref="O27:V37"/>
    <mergeCell ref="F43:V4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BC0D5-8C91-43D7-820D-38507538C7A0}">
  <dimension ref="A1:D251"/>
  <sheetViews>
    <sheetView showGridLines="0" tabSelected="1" zoomScaleNormal="100" workbookViewId="0">
      <selection activeCell="L8" sqref="L8"/>
    </sheetView>
  </sheetViews>
  <sheetFormatPr defaultRowHeight="14.4" x14ac:dyDescent="0.3"/>
  <cols>
    <col min="1" max="1" width="8.21875" bestFit="1" customWidth="1"/>
    <col min="2" max="2" width="9.33203125" bestFit="1" customWidth="1"/>
    <col min="4" max="4" width="17.6640625" bestFit="1" customWidth="1"/>
  </cols>
  <sheetData>
    <row r="1" spans="1:4" ht="19.8" thickTop="1" thickBot="1" x14ac:dyDescent="0.5">
      <c r="A1" s="27" t="s">
        <v>26</v>
      </c>
      <c r="B1" s="27" t="s">
        <v>27</v>
      </c>
      <c r="D1" s="5" t="s">
        <v>28</v>
      </c>
    </row>
    <row r="2" spans="1:4" ht="15" thickTop="1" x14ac:dyDescent="0.3">
      <c r="A2" s="28">
        <v>74.058080290343867</v>
      </c>
      <c r="B2" s="28">
        <v>1</v>
      </c>
      <c r="D2" s="9">
        <f>_xlfn.FORECAST.LINEAR(160,A2:A251,B2:B251)</f>
        <v>44.153682493126553</v>
      </c>
    </row>
    <row r="3" spans="1:4" x14ac:dyDescent="0.3">
      <c r="A3" s="28">
        <v>45.855600005028116</v>
      </c>
      <c r="B3" s="28">
        <v>2</v>
      </c>
    </row>
    <row r="4" spans="1:4" x14ac:dyDescent="0.3">
      <c r="A4" s="28">
        <v>34.523502807390379</v>
      </c>
      <c r="B4" s="28">
        <v>3</v>
      </c>
    </row>
    <row r="5" spans="1:4" x14ac:dyDescent="0.3">
      <c r="A5" s="28">
        <v>52.515911656356124</v>
      </c>
      <c r="B5" s="28">
        <v>4</v>
      </c>
    </row>
    <row r="6" spans="1:4" x14ac:dyDescent="0.3">
      <c r="A6" s="28">
        <v>40.413290269624369</v>
      </c>
      <c r="B6" s="28">
        <v>5</v>
      </c>
    </row>
    <row r="7" spans="1:4" x14ac:dyDescent="0.3">
      <c r="A7" s="28">
        <v>43.144038245030259</v>
      </c>
      <c r="B7" s="28">
        <v>6</v>
      </c>
    </row>
    <row r="8" spans="1:4" x14ac:dyDescent="0.3">
      <c r="A8" s="28">
        <v>41.653946284381831</v>
      </c>
      <c r="B8" s="28">
        <v>7</v>
      </c>
    </row>
    <row r="9" spans="1:4" x14ac:dyDescent="0.3">
      <c r="A9" s="28">
        <v>30.734545292686633</v>
      </c>
      <c r="B9" s="28">
        <v>8</v>
      </c>
    </row>
    <row r="10" spans="1:4" x14ac:dyDescent="0.3">
      <c r="A10" s="28">
        <v>35.699452365744769</v>
      </c>
      <c r="B10" s="28">
        <v>9</v>
      </c>
    </row>
    <row r="11" spans="1:4" x14ac:dyDescent="0.3">
      <c r="A11" s="28">
        <v>62.257854329434409</v>
      </c>
      <c r="B11" s="28">
        <v>10</v>
      </c>
    </row>
    <row r="12" spans="1:4" x14ac:dyDescent="0.3">
      <c r="A12" s="28">
        <v>49.096229773273095</v>
      </c>
      <c r="B12" s="28">
        <v>11</v>
      </c>
    </row>
    <row r="13" spans="1:4" x14ac:dyDescent="0.3">
      <c r="A13" s="28">
        <v>29.089783606612798</v>
      </c>
      <c r="B13" s="28">
        <v>12</v>
      </c>
    </row>
    <row r="14" spans="1:4" x14ac:dyDescent="0.3">
      <c r="A14" s="28">
        <v>36.060628133426519</v>
      </c>
      <c r="B14" s="28">
        <v>13</v>
      </c>
    </row>
    <row r="15" spans="1:4" x14ac:dyDescent="0.3">
      <c r="A15" s="28">
        <v>41.264322093905861</v>
      </c>
      <c r="B15" s="28">
        <v>14</v>
      </c>
    </row>
    <row r="16" spans="1:4" x14ac:dyDescent="0.3">
      <c r="A16" s="28">
        <v>45.299759464632615</v>
      </c>
      <c r="B16" s="28">
        <v>15</v>
      </c>
    </row>
    <row r="17" spans="1:2" x14ac:dyDescent="0.3">
      <c r="A17" s="28">
        <v>49.479909004156909</v>
      </c>
      <c r="B17" s="28">
        <v>16</v>
      </c>
    </row>
    <row r="18" spans="1:2" x14ac:dyDescent="0.3">
      <c r="A18" s="28">
        <v>55.229357158685289</v>
      </c>
      <c r="B18" s="28">
        <v>17</v>
      </c>
    </row>
    <row r="19" spans="1:2" x14ac:dyDescent="0.3">
      <c r="A19" s="28">
        <v>38.535486337946118</v>
      </c>
      <c r="B19" s="28">
        <v>18</v>
      </c>
    </row>
    <row r="20" spans="1:2" x14ac:dyDescent="0.3">
      <c r="A20" s="28">
        <v>47.419484673348954</v>
      </c>
      <c r="B20" s="28">
        <v>19</v>
      </c>
    </row>
    <row r="21" spans="1:2" x14ac:dyDescent="0.3">
      <c r="A21" s="28">
        <v>45.633559721766382</v>
      </c>
      <c r="B21" s="28">
        <v>20</v>
      </c>
    </row>
    <row r="22" spans="1:2" x14ac:dyDescent="0.3">
      <c r="A22" s="28">
        <v>47.253946575032806</v>
      </c>
      <c r="B22" s="28">
        <v>21</v>
      </c>
    </row>
    <row r="23" spans="1:2" x14ac:dyDescent="0.3">
      <c r="A23" s="28">
        <v>49.015228626731385</v>
      </c>
      <c r="B23" s="28">
        <v>22</v>
      </c>
    </row>
    <row r="24" spans="1:2" x14ac:dyDescent="0.3">
      <c r="A24" s="28">
        <v>57.955751199188853</v>
      </c>
      <c r="B24" s="28">
        <v>23</v>
      </c>
    </row>
    <row r="25" spans="1:2" x14ac:dyDescent="0.3">
      <c r="A25" s="28">
        <v>29.42739551308506</v>
      </c>
      <c r="B25" s="28">
        <v>24</v>
      </c>
    </row>
    <row r="26" spans="1:2" x14ac:dyDescent="0.3">
      <c r="A26" s="28">
        <v>44.539427805401246</v>
      </c>
      <c r="B26" s="28">
        <v>25</v>
      </c>
    </row>
    <row r="27" spans="1:2" x14ac:dyDescent="0.3">
      <c r="A27" s="28">
        <v>43.208011954160561</v>
      </c>
      <c r="B27" s="28">
        <v>26</v>
      </c>
    </row>
    <row r="28" spans="1:2" x14ac:dyDescent="0.3">
      <c r="A28" s="28">
        <v>34.023788464046049</v>
      </c>
      <c r="B28" s="28">
        <v>27</v>
      </c>
    </row>
    <row r="29" spans="1:2" x14ac:dyDescent="0.3">
      <c r="A29" s="28">
        <v>15.732944733991832</v>
      </c>
      <c r="B29" s="28">
        <v>28</v>
      </c>
    </row>
    <row r="30" spans="1:2" x14ac:dyDescent="0.3">
      <c r="A30" s="28">
        <v>38.322041337350541</v>
      </c>
      <c r="B30" s="28">
        <v>29</v>
      </c>
    </row>
    <row r="31" spans="1:2" x14ac:dyDescent="0.3">
      <c r="A31" s="28">
        <v>38.585831865598969</v>
      </c>
      <c r="B31" s="28">
        <v>30</v>
      </c>
    </row>
    <row r="32" spans="1:2" x14ac:dyDescent="0.3">
      <c r="A32" s="28">
        <v>46.400955943840358</v>
      </c>
      <c r="B32" s="28">
        <v>31</v>
      </c>
    </row>
    <row r="33" spans="1:2" x14ac:dyDescent="0.3">
      <c r="A33" s="28">
        <v>42.745532833425351</v>
      </c>
      <c r="B33" s="28">
        <v>32</v>
      </c>
    </row>
    <row r="34" spans="1:2" x14ac:dyDescent="0.3">
      <c r="A34" s="28">
        <v>47.259858856446407</v>
      </c>
      <c r="B34" s="28">
        <v>33</v>
      </c>
    </row>
    <row r="35" spans="1:2" x14ac:dyDescent="0.3">
      <c r="A35" s="28">
        <v>26.783504447135488</v>
      </c>
      <c r="B35" s="28">
        <v>34</v>
      </c>
    </row>
    <row r="36" spans="1:2" x14ac:dyDescent="0.3">
      <c r="A36" s="28">
        <v>54.932002867977161</v>
      </c>
      <c r="B36" s="28">
        <v>35</v>
      </c>
    </row>
    <row r="37" spans="1:2" x14ac:dyDescent="0.3">
      <c r="A37" s="28">
        <v>29.313344490933702</v>
      </c>
      <c r="B37" s="28">
        <v>36</v>
      </c>
    </row>
    <row r="38" spans="1:2" x14ac:dyDescent="0.3">
      <c r="A38" s="28">
        <v>38.298057013364549</v>
      </c>
      <c r="B38" s="28">
        <v>37</v>
      </c>
    </row>
    <row r="39" spans="1:2" x14ac:dyDescent="0.3">
      <c r="A39" s="28">
        <v>33.39812826578877</v>
      </c>
      <c r="B39" s="28">
        <v>38</v>
      </c>
    </row>
    <row r="40" spans="1:2" x14ac:dyDescent="0.3">
      <c r="A40" s="28">
        <v>38.7555728034501</v>
      </c>
      <c r="B40" s="28">
        <v>39</v>
      </c>
    </row>
    <row r="41" spans="1:2" x14ac:dyDescent="0.3">
      <c r="A41" s="28">
        <v>35.941088039467978</v>
      </c>
      <c r="B41" s="28">
        <v>40</v>
      </c>
    </row>
    <row r="42" spans="1:2" x14ac:dyDescent="0.3">
      <c r="A42" s="28">
        <v>41.45297480652733</v>
      </c>
      <c r="B42" s="28">
        <v>41</v>
      </c>
    </row>
    <row r="43" spans="1:2" x14ac:dyDescent="0.3">
      <c r="A43" s="28">
        <v>41.609207673439123</v>
      </c>
      <c r="B43" s="28">
        <v>42</v>
      </c>
    </row>
    <row r="44" spans="1:2" x14ac:dyDescent="0.3">
      <c r="A44" s="28">
        <v>56.969019568229214</v>
      </c>
      <c r="B44" s="28">
        <v>43</v>
      </c>
    </row>
    <row r="45" spans="1:2" x14ac:dyDescent="0.3">
      <c r="A45" s="28">
        <v>45.358943540650955</v>
      </c>
      <c r="B45" s="28">
        <v>44</v>
      </c>
    </row>
    <row r="46" spans="1:2" x14ac:dyDescent="0.3">
      <c r="A46" s="28">
        <v>50.632620297160514</v>
      </c>
      <c r="B46" s="28">
        <v>45</v>
      </c>
    </row>
    <row r="47" spans="1:2" x14ac:dyDescent="0.3">
      <c r="A47" s="28">
        <v>31.422227409123785</v>
      </c>
      <c r="B47" s="28">
        <v>46</v>
      </c>
    </row>
    <row r="48" spans="1:2" x14ac:dyDescent="0.3">
      <c r="A48" s="28">
        <v>50.919600813193775</v>
      </c>
      <c r="B48" s="28">
        <v>47</v>
      </c>
    </row>
    <row r="49" spans="1:2" x14ac:dyDescent="0.3">
      <c r="A49" s="28">
        <v>34.350794416318848</v>
      </c>
      <c r="B49" s="28">
        <v>48</v>
      </c>
    </row>
    <row r="50" spans="1:2" x14ac:dyDescent="0.3">
      <c r="A50" s="28">
        <v>61.623498775860753</v>
      </c>
      <c r="B50" s="28">
        <v>49</v>
      </c>
    </row>
    <row r="51" spans="1:2" x14ac:dyDescent="0.3">
      <c r="A51" s="28">
        <v>46.91704461010734</v>
      </c>
      <c r="B51" s="28">
        <v>50</v>
      </c>
    </row>
    <row r="52" spans="1:2" x14ac:dyDescent="0.3">
      <c r="A52" s="28">
        <v>44.498217430330328</v>
      </c>
      <c r="B52" s="28">
        <v>51</v>
      </c>
    </row>
    <row r="53" spans="1:2" x14ac:dyDescent="0.3">
      <c r="A53" s="28">
        <v>36.564925735469046</v>
      </c>
      <c r="B53" s="28">
        <v>52</v>
      </c>
    </row>
    <row r="54" spans="1:2" x14ac:dyDescent="0.3">
      <c r="A54" s="28">
        <v>31.599095886836952</v>
      </c>
      <c r="B54" s="28">
        <v>53</v>
      </c>
    </row>
    <row r="55" spans="1:2" x14ac:dyDescent="0.3">
      <c r="A55" s="28">
        <v>14.141183699400901</v>
      </c>
      <c r="B55" s="28">
        <v>54</v>
      </c>
    </row>
    <row r="56" spans="1:2" x14ac:dyDescent="0.3">
      <c r="A56" s="28">
        <v>30.262426460063544</v>
      </c>
      <c r="B56" s="28">
        <v>55</v>
      </c>
    </row>
    <row r="57" spans="1:2" x14ac:dyDescent="0.3">
      <c r="A57" s="28">
        <v>46.13384759254685</v>
      </c>
      <c r="B57" s="28">
        <v>56</v>
      </c>
    </row>
    <row r="58" spans="1:2" x14ac:dyDescent="0.3">
      <c r="A58" s="28">
        <v>34.396373640534406</v>
      </c>
      <c r="B58" s="28">
        <v>57</v>
      </c>
    </row>
    <row r="59" spans="1:2" x14ac:dyDescent="0.3">
      <c r="A59" s="28">
        <v>55.631031157596432</v>
      </c>
      <c r="B59" s="28">
        <v>58</v>
      </c>
    </row>
    <row r="60" spans="1:2" x14ac:dyDescent="0.3">
      <c r="A60" s="28">
        <v>48.337255076394158</v>
      </c>
      <c r="B60" s="28">
        <v>59</v>
      </c>
    </row>
    <row r="61" spans="1:2" x14ac:dyDescent="0.3">
      <c r="A61" s="28">
        <v>44.758018171337334</v>
      </c>
      <c r="B61" s="28">
        <v>60</v>
      </c>
    </row>
    <row r="62" spans="1:2" x14ac:dyDescent="0.3">
      <c r="A62" s="28">
        <v>47.075945959678648</v>
      </c>
      <c r="B62" s="28">
        <v>61</v>
      </c>
    </row>
    <row r="63" spans="1:2" x14ac:dyDescent="0.3">
      <c r="A63" s="28">
        <v>14.907961146111912</v>
      </c>
      <c r="B63" s="28">
        <v>62</v>
      </c>
    </row>
    <row r="64" spans="1:2" x14ac:dyDescent="0.3">
      <c r="A64" s="28">
        <v>55.775016580361566</v>
      </c>
      <c r="B64" s="28">
        <v>63</v>
      </c>
    </row>
    <row r="65" spans="1:2" x14ac:dyDescent="0.3">
      <c r="A65" s="28">
        <v>43.945589355818704</v>
      </c>
      <c r="B65" s="28">
        <v>64</v>
      </c>
    </row>
    <row r="66" spans="1:2" x14ac:dyDescent="0.3">
      <c r="A66" s="28">
        <v>27.92490461327613</v>
      </c>
      <c r="B66" s="28">
        <v>65</v>
      </c>
    </row>
    <row r="67" spans="1:2" x14ac:dyDescent="0.3">
      <c r="A67" s="28">
        <v>29.776864623830299</v>
      </c>
      <c r="B67" s="28">
        <v>66</v>
      </c>
    </row>
    <row r="68" spans="1:2" x14ac:dyDescent="0.3">
      <c r="A68" s="28">
        <v>41.603346332061605</v>
      </c>
      <c r="B68" s="28">
        <v>67</v>
      </c>
    </row>
    <row r="69" spans="1:2" x14ac:dyDescent="0.3">
      <c r="A69" s="28">
        <v>66.342004141765216</v>
      </c>
      <c r="B69" s="28">
        <v>68</v>
      </c>
    </row>
    <row r="70" spans="1:2" x14ac:dyDescent="0.3">
      <c r="A70" s="28">
        <v>39.81654616922355</v>
      </c>
      <c r="B70" s="28">
        <v>69</v>
      </c>
    </row>
    <row r="71" spans="1:2" x14ac:dyDescent="0.3">
      <c r="A71" s="28">
        <v>47.539830032614702</v>
      </c>
      <c r="B71" s="28">
        <v>70</v>
      </c>
    </row>
    <row r="72" spans="1:2" x14ac:dyDescent="0.3">
      <c r="A72" s="28">
        <v>58.843201828261954</v>
      </c>
      <c r="B72" s="28">
        <v>71</v>
      </c>
    </row>
    <row r="73" spans="1:2" x14ac:dyDescent="0.3">
      <c r="A73" s="28">
        <v>41.755300372804022</v>
      </c>
      <c r="B73" s="28">
        <v>72</v>
      </c>
    </row>
    <row r="74" spans="1:2" x14ac:dyDescent="0.3">
      <c r="A74" s="28">
        <v>45.938078700596044</v>
      </c>
      <c r="B74" s="28">
        <v>73</v>
      </c>
    </row>
    <row r="75" spans="1:2" x14ac:dyDescent="0.3">
      <c r="A75" s="28">
        <v>46.163168773755615</v>
      </c>
      <c r="B75" s="28">
        <v>74</v>
      </c>
    </row>
    <row r="76" spans="1:2" x14ac:dyDescent="0.3">
      <c r="A76" s="28">
        <v>33.483962352147778</v>
      </c>
      <c r="B76" s="28">
        <v>75</v>
      </c>
    </row>
    <row r="77" spans="1:2" x14ac:dyDescent="0.3">
      <c r="A77" s="28">
        <v>47.7028570145904</v>
      </c>
      <c r="B77" s="28">
        <v>76</v>
      </c>
    </row>
    <row r="78" spans="1:2" x14ac:dyDescent="0.3">
      <c r="A78" s="28">
        <v>43.655045755970136</v>
      </c>
      <c r="B78" s="28">
        <v>77</v>
      </c>
    </row>
    <row r="79" spans="1:2" x14ac:dyDescent="0.3">
      <c r="A79" s="28">
        <v>38.459784385244852</v>
      </c>
      <c r="B79" s="28">
        <v>78</v>
      </c>
    </row>
    <row r="80" spans="1:2" x14ac:dyDescent="0.3">
      <c r="A80" s="28">
        <v>46.136788585204464</v>
      </c>
      <c r="B80" s="28">
        <v>79</v>
      </c>
    </row>
    <row r="81" spans="1:2" x14ac:dyDescent="0.3">
      <c r="A81" s="28">
        <v>57.167625279304289</v>
      </c>
      <c r="B81" s="28">
        <v>80</v>
      </c>
    </row>
    <row r="82" spans="1:2" x14ac:dyDescent="0.3">
      <c r="A82" s="28">
        <v>45.603923047657197</v>
      </c>
      <c r="B82" s="28">
        <v>81</v>
      </c>
    </row>
    <row r="83" spans="1:2" x14ac:dyDescent="0.3">
      <c r="A83" s="28">
        <v>51.152828613762608</v>
      </c>
      <c r="B83" s="28">
        <v>82</v>
      </c>
    </row>
    <row r="84" spans="1:2" x14ac:dyDescent="0.3">
      <c r="A84" s="28">
        <v>45.807149417815964</v>
      </c>
      <c r="B84" s="28">
        <v>83</v>
      </c>
    </row>
    <row r="85" spans="1:2" x14ac:dyDescent="0.3">
      <c r="A85" s="28">
        <v>56.233199664773423</v>
      </c>
      <c r="B85" s="28">
        <v>84</v>
      </c>
    </row>
    <row r="86" spans="1:2" x14ac:dyDescent="0.3">
      <c r="A86" s="28">
        <v>49.950731790454952</v>
      </c>
      <c r="B86" s="28">
        <v>85</v>
      </c>
    </row>
    <row r="87" spans="1:2" x14ac:dyDescent="0.3">
      <c r="A87" s="28">
        <v>27.58963098667888</v>
      </c>
      <c r="B87" s="28">
        <v>86</v>
      </c>
    </row>
    <row r="88" spans="1:2" x14ac:dyDescent="0.3">
      <c r="A88" s="28">
        <v>30.09610773717711</v>
      </c>
      <c r="B88" s="28">
        <v>87</v>
      </c>
    </row>
    <row r="89" spans="1:2" x14ac:dyDescent="0.3">
      <c r="A89" s="28">
        <v>47.466336478172479</v>
      </c>
      <c r="B89" s="28">
        <v>88</v>
      </c>
    </row>
    <row r="90" spans="1:2" x14ac:dyDescent="0.3">
      <c r="A90" s="28">
        <v>54.417109697371473</v>
      </c>
      <c r="B90" s="28">
        <v>89</v>
      </c>
    </row>
    <row r="91" spans="1:2" x14ac:dyDescent="0.3">
      <c r="A91" s="28">
        <v>40.17081031181813</v>
      </c>
      <c r="B91" s="28">
        <v>90</v>
      </c>
    </row>
    <row r="92" spans="1:2" x14ac:dyDescent="0.3">
      <c r="A92" s="28">
        <v>43.03187594024115</v>
      </c>
      <c r="B92" s="28">
        <v>91</v>
      </c>
    </row>
    <row r="93" spans="1:2" x14ac:dyDescent="0.3">
      <c r="A93" s="28">
        <v>58.511705183655344</v>
      </c>
      <c r="B93" s="28">
        <v>92</v>
      </c>
    </row>
    <row r="94" spans="1:2" x14ac:dyDescent="0.3">
      <c r="A94" s="28">
        <v>51.434196156658516</v>
      </c>
      <c r="B94" s="28">
        <v>93</v>
      </c>
    </row>
    <row r="95" spans="1:2" x14ac:dyDescent="0.3">
      <c r="A95" s="28">
        <v>22.795715125199802</v>
      </c>
      <c r="B95" s="28">
        <v>94</v>
      </c>
    </row>
    <row r="96" spans="1:2" x14ac:dyDescent="0.3">
      <c r="A96" s="28">
        <v>51.322420948643284</v>
      </c>
      <c r="B96" s="28">
        <v>95</v>
      </c>
    </row>
    <row r="97" spans="1:2" x14ac:dyDescent="0.3">
      <c r="A97" s="28">
        <v>57.78742516011954</v>
      </c>
      <c r="B97" s="28">
        <v>96</v>
      </c>
    </row>
    <row r="98" spans="1:2" x14ac:dyDescent="0.3">
      <c r="A98" s="28">
        <v>47.065535987975778</v>
      </c>
      <c r="B98" s="28">
        <v>97</v>
      </c>
    </row>
    <row r="99" spans="1:2" x14ac:dyDescent="0.3">
      <c r="A99" s="28">
        <v>39.383543215057784</v>
      </c>
      <c r="B99" s="28">
        <v>98</v>
      </c>
    </row>
    <row r="100" spans="1:2" x14ac:dyDescent="0.3">
      <c r="A100" s="28">
        <v>38.913860242410195</v>
      </c>
      <c r="B100" s="28">
        <v>99</v>
      </c>
    </row>
    <row r="101" spans="1:2" x14ac:dyDescent="0.3">
      <c r="A101" s="28">
        <v>42.784485159089797</v>
      </c>
      <c r="B101" s="28">
        <v>100</v>
      </c>
    </row>
    <row r="102" spans="1:2" x14ac:dyDescent="0.3">
      <c r="A102" s="28">
        <v>40.27514638035062</v>
      </c>
      <c r="B102" s="28">
        <v>101</v>
      </c>
    </row>
    <row r="103" spans="1:2" x14ac:dyDescent="0.3">
      <c r="A103" s="28">
        <v>31.913511535353514</v>
      </c>
      <c r="B103" s="28">
        <v>102</v>
      </c>
    </row>
    <row r="104" spans="1:2" x14ac:dyDescent="0.3">
      <c r="A104" s="28">
        <v>64.919722738413611</v>
      </c>
      <c r="B104" s="28">
        <v>103</v>
      </c>
    </row>
    <row r="105" spans="1:2" x14ac:dyDescent="0.3">
      <c r="A105" s="28">
        <v>55.270074178525491</v>
      </c>
      <c r="B105" s="28">
        <v>104</v>
      </c>
    </row>
    <row r="106" spans="1:2" x14ac:dyDescent="0.3">
      <c r="A106" s="28">
        <v>46.295952087315186</v>
      </c>
      <c r="B106" s="28">
        <v>105</v>
      </c>
    </row>
    <row r="107" spans="1:2" x14ac:dyDescent="0.3">
      <c r="A107" s="28">
        <v>52.951138315682144</v>
      </c>
      <c r="B107" s="28">
        <v>106</v>
      </c>
    </row>
    <row r="108" spans="1:2" x14ac:dyDescent="0.3">
      <c r="A108" s="28">
        <v>33.570986580570285</v>
      </c>
      <c r="B108" s="28">
        <v>107</v>
      </c>
    </row>
    <row r="109" spans="1:2" x14ac:dyDescent="0.3">
      <c r="A109" s="28">
        <v>44.22112647476191</v>
      </c>
      <c r="B109" s="28">
        <v>108</v>
      </c>
    </row>
    <row r="110" spans="1:2" x14ac:dyDescent="0.3">
      <c r="A110" s="28">
        <v>34.448818303521378</v>
      </c>
      <c r="B110" s="28">
        <v>109</v>
      </c>
    </row>
    <row r="111" spans="1:2" x14ac:dyDescent="0.3">
      <c r="A111" s="28">
        <v>24.251851405354174</v>
      </c>
      <c r="B111" s="28">
        <v>110</v>
      </c>
    </row>
    <row r="112" spans="1:2" x14ac:dyDescent="0.3">
      <c r="A112" s="28">
        <v>48.114629308608926</v>
      </c>
      <c r="B112" s="28">
        <v>111</v>
      </c>
    </row>
    <row r="113" spans="1:2" x14ac:dyDescent="0.3">
      <c r="A113" s="28">
        <v>41.358007175647742</v>
      </c>
      <c r="B113" s="28">
        <v>112</v>
      </c>
    </row>
    <row r="114" spans="1:2" x14ac:dyDescent="0.3">
      <c r="A114" s="28">
        <v>60.757546868148339</v>
      </c>
      <c r="B114" s="28">
        <v>113</v>
      </c>
    </row>
    <row r="115" spans="1:2" x14ac:dyDescent="0.3">
      <c r="A115" s="28">
        <v>54.959685234606127</v>
      </c>
      <c r="B115" s="28">
        <v>114</v>
      </c>
    </row>
    <row r="116" spans="1:2" x14ac:dyDescent="0.3">
      <c r="A116" s="28">
        <v>53.901288728179637</v>
      </c>
      <c r="B116" s="28">
        <v>115</v>
      </c>
    </row>
    <row r="117" spans="1:2" x14ac:dyDescent="0.3">
      <c r="A117" s="28">
        <v>49.721303256588676</v>
      </c>
      <c r="B117" s="28">
        <v>116</v>
      </c>
    </row>
    <row r="118" spans="1:2" x14ac:dyDescent="0.3">
      <c r="A118" s="28">
        <v>41.96689139564964</v>
      </c>
      <c r="B118" s="28">
        <v>117</v>
      </c>
    </row>
    <row r="119" spans="1:2" x14ac:dyDescent="0.3">
      <c r="A119" s="28">
        <v>31.922253823733683</v>
      </c>
      <c r="B119" s="28">
        <v>118</v>
      </c>
    </row>
    <row r="120" spans="1:2" x14ac:dyDescent="0.3">
      <c r="A120" s="28">
        <v>21.882754068971629</v>
      </c>
      <c r="B120" s="28">
        <v>119</v>
      </c>
    </row>
    <row r="121" spans="1:2" x14ac:dyDescent="0.3">
      <c r="A121" s="28">
        <v>60.287773694989014</v>
      </c>
      <c r="B121" s="28">
        <v>120</v>
      </c>
    </row>
    <row r="122" spans="1:2" x14ac:dyDescent="0.3">
      <c r="A122" s="28">
        <v>36.799027588552072</v>
      </c>
      <c r="B122" s="28">
        <v>121</v>
      </c>
    </row>
    <row r="123" spans="1:2" x14ac:dyDescent="0.3">
      <c r="A123" s="28">
        <v>56.683162550963246</v>
      </c>
      <c r="B123" s="28">
        <v>122</v>
      </c>
    </row>
    <row r="124" spans="1:2" x14ac:dyDescent="0.3">
      <c r="A124" s="28">
        <v>54.072159058144315</v>
      </c>
      <c r="B124" s="28">
        <v>123</v>
      </c>
    </row>
    <row r="125" spans="1:2" x14ac:dyDescent="0.3">
      <c r="A125" s="28">
        <v>51.637578356371328</v>
      </c>
      <c r="B125" s="28">
        <v>124</v>
      </c>
    </row>
    <row r="126" spans="1:2" x14ac:dyDescent="0.3">
      <c r="A126" s="28">
        <v>49.841378701344617</v>
      </c>
      <c r="B126" s="28">
        <v>125</v>
      </c>
    </row>
    <row r="127" spans="1:2" x14ac:dyDescent="0.3">
      <c r="A127" s="28">
        <v>41.497723800858786</v>
      </c>
      <c r="B127" s="28">
        <v>126</v>
      </c>
    </row>
    <row r="128" spans="1:2" x14ac:dyDescent="0.3">
      <c r="A128" s="28">
        <v>56.262601965854145</v>
      </c>
      <c r="B128" s="28">
        <v>127</v>
      </c>
    </row>
    <row r="129" spans="1:2" x14ac:dyDescent="0.3">
      <c r="A129" s="28">
        <v>63.230234035411172</v>
      </c>
      <c r="B129" s="28">
        <v>128</v>
      </c>
    </row>
    <row r="130" spans="1:2" x14ac:dyDescent="0.3">
      <c r="A130" s="28">
        <v>62.487248638143967</v>
      </c>
      <c r="B130" s="28">
        <v>129</v>
      </c>
    </row>
    <row r="131" spans="1:2" x14ac:dyDescent="0.3">
      <c r="A131" s="28">
        <v>36.634307818632081</v>
      </c>
      <c r="B131" s="28">
        <v>130</v>
      </c>
    </row>
    <row r="132" spans="1:2" x14ac:dyDescent="0.3">
      <c r="A132" s="28">
        <v>52.721429806411571</v>
      </c>
      <c r="B132" s="28">
        <v>131</v>
      </c>
    </row>
    <row r="133" spans="1:2" x14ac:dyDescent="0.3">
      <c r="A133" s="28">
        <v>35.433764587968938</v>
      </c>
      <c r="B133" s="28">
        <v>132</v>
      </c>
    </row>
    <row r="134" spans="1:2" x14ac:dyDescent="0.3">
      <c r="A134" s="28">
        <v>58.315436141465504</v>
      </c>
      <c r="B134" s="28">
        <v>133</v>
      </c>
    </row>
    <row r="135" spans="1:2" x14ac:dyDescent="0.3">
      <c r="A135" s="28">
        <v>53.211086232033729</v>
      </c>
      <c r="B135" s="28">
        <v>134</v>
      </c>
    </row>
    <row r="136" spans="1:2" x14ac:dyDescent="0.3">
      <c r="A136" s="28">
        <v>48.239722186811051</v>
      </c>
      <c r="B136" s="28">
        <v>135</v>
      </c>
    </row>
    <row r="137" spans="1:2" x14ac:dyDescent="0.3">
      <c r="A137" s="28">
        <v>26.540656226335901</v>
      </c>
      <c r="B137" s="28">
        <v>136</v>
      </c>
    </row>
    <row r="138" spans="1:2" x14ac:dyDescent="0.3">
      <c r="A138" s="28">
        <v>57.052437952296813</v>
      </c>
      <c r="B138" s="28">
        <v>137</v>
      </c>
    </row>
    <row r="139" spans="1:2" x14ac:dyDescent="0.3">
      <c r="A139" s="28">
        <v>45.58286487284655</v>
      </c>
      <c r="B139" s="28">
        <v>138</v>
      </c>
    </row>
    <row r="140" spans="1:2" x14ac:dyDescent="0.3">
      <c r="A140" s="28">
        <v>32.479959571800464</v>
      </c>
      <c r="B140" s="28">
        <v>139</v>
      </c>
    </row>
    <row r="141" spans="1:2" x14ac:dyDescent="0.3">
      <c r="A141" s="28">
        <v>32.570094189856079</v>
      </c>
      <c r="B141" s="28">
        <v>140</v>
      </c>
    </row>
    <row r="142" spans="1:2" x14ac:dyDescent="0.3">
      <c r="A142" s="28">
        <v>62.634354224068289</v>
      </c>
      <c r="B142" s="28">
        <v>141</v>
      </c>
    </row>
    <row r="143" spans="1:2" x14ac:dyDescent="0.3">
      <c r="A143" s="28">
        <v>44.839130402658292</v>
      </c>
      <c r="B143" s="28">
        <v>142</v>
      </c>
    </row>
    <row r="144" spans="1:2" x14ac:dyDescent="0.3">
      <c r="A144" s="28">
        <v>43.145385849222947</v>
      </c>
      <c r="B144" s="28">
        <v>143</v>
      </c>
    </row>
    <row r="145" spans="1:2" x14ac:dyDescent="0.3">
      <c r="A145" s="28">
        <v>28.896512443312805</v>
      </c>
      <c r="B145" s="28">
        <v>144</v>
      </c>
    </row>
    <row r="146" spans="1:2" x14ac:dyDescent="0.3">
      <c r="A146" s="28">
        <v>52.749722704023533</v>
      </c>
      <c r="B146" s="28">
        <v>145</v>
      </c>
    </row>
    <row r="147" spans="1:2" x14ac:dyDescent="0.3">
      <c r="A147" s="28">
        <v>33.767943593027681</v>
      </c>
      <c r="B147" s="28">
        <v>146</v>
      </c>
    </row>
    <row r="148" spans="1:2" x14ac:dyDescent="0.3">
      <c r="A148" s="28">
        <v>61.726180820007279</v>
      </c>
      <c r="B148" s="28">
        <v>147</v>
      </c>
    </row>
    <row r="149" spans="1:2" x14ac:dyDescent="0.3">
      <c r="A149" s="28">
        <v>39.669474859587694</v>
      </c>
      <c r="B149" s="28">
        <v>148</v>
      </c>
    </row>
    <row r="150" spans="1:2" x14ac:dyDescent="0.3">
      <c r="A150" s="28">
        <v>41.149067972700578</v>
      </c>
      <c r="B150" s="28">
        <v>149</v>
      </c>
    </row>
    <row r="151" spans="1:2" x14ac:dyDescent="0.3">
      <c r="A151" s="28">
        <v>32.287936904557995</v>
      </c>
      <c r="B151" s="28">
        <v>150</v>
      </c>
    </row>
    <row r="152" spans="1:2" x14ac:dyDescent="0.3">
      <c r="A152" s="28">
        <v>57.578611132564163</v>
      </c>
      <c r="B152" s="28">
        <v>151</v>
      </c>
    </row>
    <row r="153" spans="1:2" x14ac:dyDescent="0.3">
      <c r="A153" s="28">
        <v>46.802318015155699</v>
      </c>
      <c r="B153" s="28">
        <v>152</v>
      </c>
    </row>
    <row r="154" spans="1:2" x14ac:dyDescent="0.3">
      <c r="A154" s="28">
        <v>62.205869581996296</v>
      </c>
      <c r="B154" s="28">
        <v>153</v>
      </c>
    </row>
    <row r="155" spans="1:2" x14ac:dyDescent="0.3">
      <c r="A155" s="28">
        <v>45.871964911570181</v>
      </c>
      <c r="B155" s="28">
        <v>154</v>
      </c>
    </row>
    <row r="156" spans="1:2" x14ac:dyDescent="0.3">
      <c r="A156" s="28">
        <v>33.476050286264126</v>
      </c>
      <c r="B156" s="28">
        <v>155</v>
      </c>
    </row>
    <row r="157" spans="1:2" x14ac:dyDescent="0.3">
      <c r="A157" s="28">
        <v>24.492427550082564</v>
      </c>
      <c r="B157" s="28">
        <v>156</v>
      </c>
    </row>
    <row r="158" spans="1:2" x14ac:dyDescent="0.3">
      <c r="A158" s="28">
        <v>25.083310867852131</v>
      </c>
      <c r="B158" s="28">
        <v>157</v>
      </c>
    </row>
    <row r="159" spans="1:2" x14ac:dyDescent="0.3">
      <c r="A159" s="28">
        <v>48.797394941123279</v>
      </c>
      <c r="B159" s="28">
        <v>158</v>
      </c>
    </row>
    <row r="160" spans="1:2" x14ac:dyDescent="0.3">
      <c r="A160" s="28">
        <v>39.595588327258646</v>
      </c>
      <c r="B160" s="28">
        <v>159</v>
      </c>
    </row>
    <row r="161" spans="1:2" x14ac:dyDescent="0.3">
      <c r="A161" s="28">
        <v>58.842458725483553</v>
      </c>
      <c r="B161" s="28">
        <v>160</v>
      </c>
    </row>
    <row r="162" spans="1:2" x14ac:dyDescent="0.3">
      <c r="A162" s="28">
        <v>43.937496429837502</v>
      </c>
      <c r="B162" s="28">
        <v>161</v>
      </c>
    </row>
    <row r="163" spans="1:2" x14ac:dyDescent="0.3">
      <c r="A163" s="28">
        <v>44.128607780461948</v>
      </c>
      <c r="B163" s="28">
        <v>162</v>
      </c>
    </row>
    <row r="164" spans="1:2" x14ac:dyDescent="0.3">
      <c r="A164" s="28">
        <v>50.257546388713422</v>
      </c>
      <c r="B164" s="28">
        <v>163</v>
      </c>
    </row>
    <row r="165" spans="1:2" x14ac:dyDescent="0.3">
      <c r="A165" s="28">
        <v>47.636802888923917</v>
      </c>
      <c r="B165" s="28">
        <v>164</v>
      </c>
    </row>
    <row r="166" spans="1:2" x14ac:dyDescent="0.3">
      <c r="A166" s="28">
        <v>44.240481805739734</v>
      </c>
      <c r="B166" s="28">
        <v>165</v>
      </c>
    </row>
    <row r="167" spans="1:2" x14ac:dyDescent="0.3">
      <c r="A167" s="28">
        <v>41.359617790489111</v>
      </c>
      <c r="B167" s="28">
        <v>166</v>
      </c>
    </row>
    <row r="168" spans="1:2" x14ac:dyDescent="0.3">
      <c r="A168" s="28">
        <v>39.106297400503614</v>
      </c>
      <c r="B168" s="28">
        <v>167</v>
      </c>
    </row>
    <row r="169" spans="1:2" x14ac:dyDescent="0.3">
      <c r="A169" s="28">
        <v>46.115050001151062</v>
      </c>
      <c r="B169" s="28">
        <v>168</v>
      </c>
    </row>
    <row r="170" spans="1:2" x14ac:dyDescent="0.3">
      <c r="A170" s="28">
        <v>50.428702154282639</v>
      </c>
      <c r="B170" s="28">
        <v>169</v>
      </c>
    </row>
    <row r="171" spans="1:2" x14ac:dyDescent="0.3">
      <c r="A171" s="28">
        <v>35.77776962991193</v>
      </c>
      <c r="B171" s="28">
        <v>170</v>
      </c>
    </row>
    <row r="172" spans="1:2" x14ac:dyDescent="0.3">
      <c r="A172" s="28">
        <v>46.637106502075056</v>
      </c>
      <c r="B172" s="28">
        <v>171</v>
      </c>
    </row>
    <row r="173" spans="1:2" x14ac:dyDescent="0.3">
      <c r="A173" s="28">
        <v>38.204630048851712</v>
      </c>
      <c r="B173" s="28">
        <v>172</v>
      </c>
    </row>
    <row r="174" spans="1:2" x14ac:dyDescent="0.3">
      <c r="A174" s="28">
        <v>42.029769626420205</v>
      </c>
      <c r="B174" s="28">
        <v>173</v>
      </c>
    </row>
    <row r="175" spans="1:2" x14ac:dyDescent="0.3">
      <c r="A175" s="28">
        <v>61.186051635638165</v>
      </c>
      <c r="B175" s="28">
        <v>174</v>
      </c>
    </row>
    <row r="176" spans="1:2" x14ac:dyDescent="0.3">
      <c r="A176" s="28">
        <v>32.044498584824041</v>
      </c>
      <c r="B176" s="28">
        <v>175</v>
      </c>
    </row>
    <row r="177" spans="1:2" x14ac:dyDescent="0.3">
      <c r="A177" s="28">
        <v>30.511735823257666</v>
      </c>
      <c r="B177" s="28">
        <v>176</v>
      </c>
    </row>
    <row r="178" spans="1:2" x14ac:dyDescent="0.3">
      <c r="A178" s="28">
        <v>45.987805051651492</v>
      </c>
      <c r="B178" s="28">
        <v>177</v>
      </c>
    </row>
    <row r="179" spans="1:2" x14ac:dyDescent="0.3">
      <c r="A179" s="28">
        <v>34.381873505594442</v>
      </c>
      <c r="B179" s="28">
        <v>178</v>
      </c>
    </row>
    <row r="180" spans="1:2" x14ac:dyDescent="0.3">
      <c r="A180" s="28">
        <v>46.641857331702994</v>
      </c>
      <c r="B180" s="28">
        <v>179</v>
      </c>
    </row>
    <row r="181" spans="1:2" x14ac:dyDescent="0.3">
      <c r="A181" s="28">
        <v>38.937317822571153</v>
      </c>
      <c r="B181" s="28">
        <v>180</v>
      </c>
    </row>
    <row r="182" spans="1:2" x14ac:dyDescent="0.3">
      <c r="A182" s="28">
        <v>61.335589905175439</v>
      </c>
      <c r="B182" s="28">
        <v>181</v>
      </c>
    </row>
    <row r="183" spans="1:2" x14ac:dyDescent="0.3">
      <c r="A183" s="28">
        <v>49.771515570277323</v>
      </c>
      <c r="B183" s="28">
        <v>182</v>
      </c>
    </row>
    <row r="184" spans="1:2" x14ac:dyDescent="0.3">
      <c r="A184" s="28">
        <v>43.142067918146367</v>
      </c>
      <c r="B184" s="28">
        <v>183</v>
      </c>
    </row>
    <row r="185" spans="1:2" x14ac:dyDescent="0.3">
      <c r="A185" s="28">
        <v>48.164289303580041</v>
      </c>
      <c r="B185" s="28">
        <v>184</v>
      </c>
    </row>
    <row r="186" spans="1:2" x14ac:dyDescent="0.3">
      <c r="A186" s="28">
        <v>69.024282132772981</v>
      </c>
      <c r="B186" s="28">
        <v>185</v>
      </c>
    </row>
    <row r="187" spans="1:2" x14ac:dyDescent="0.3">
      <c r="A187" s="28">
        <v>35.761167421870091</v>
      </c>
      <c r="B187" s="28">
        <v>186</v>
      </c>
    </row>
    <row r="188" spans="1:2" x14ac:dyDescent="0.3">
      <c r="A188" s="28">
        <v>51.676333683322525</v>
      </c>
      <c r="B188" s="28">
        <v>187</v>
      </c>
    </row>
    <row r="189" spans="1:2" x14ac:dyDescent="0.3">
      <c r="A189" s="28">
        <v>27.929672073696835</v>
      </c>
      <c r="B189" s="28">
        <v>188</v>
      </c>
    </row>
    <row r="190" spans="1:2" x14ac:dyDescent="0.3">
      <c r="A190" s="28">
        <v>56.093983704672389</v>
      </c>
      <c r="B190" s="28">
        <v>189</v>
      </c>
    </row>
    <row r="191" spans="1:2" x14ac:dyDescent="0.3">
      <c r="A191" s="28">
        <v>36.383428915193484</v>
      </c>
      <c r="B191" s="28">
        <v>190</v>
      </c>
    </row>
    <row r="192" spans="1:2" x14ac:dyDescent="0.3">
      <c r="A192" s="28">
        <v>43.884441728519235</v>
      </c>
      <c r="B192" s="28">
        <v>191</v>
      </c>
    </row>
    <row r="193" spans="1:2" x14ac:dyDescent="0.3">
      <c r="A193" s="28">
        <v>41.230819586416104</v>
      </c>
      <c r="B193" s="28">
        <v>192</v>
      </c>
    </row>
    <row r="194" spans="1:2" x14ac:dyDescent="0.3">
      <c r="A194" s="28">
        <v>37.819278807466084</v>
      </c>
      <c r="B194" s="28">
        <v>193</v>
      </c>
    </row>
    <row r="195" spans="1:2" x14ac:dyDescent="0.3">
      <c r="A195" s="28">
        <v>15.585516185555754</v>
      </c>
      <c r="B195" s="28">
        <v>194</v>
      </c>
    </row>
    <row r="196" spans="1:2" x14ac:dyDescent="0.3">
      <c r="A196" s="28">
        <v>57.540996541415907</v>
      </c>
      <c r="B196" s="28">
        <v>195</v>
      </c>
    </row>
    <row r="197" spans="1:2" x14ac:dyDescent="0.3">
      <c r="A197" s="28">
        <v>45.946939952174993</v>
      </c>
      <c r="B197" s="28">
        <v>196</v>
      </c>
    </row>
    <row r="198" spans="1:2" x14ac:dyDescent="0.3">
      <c r="A198" s="28">
        <v>46.833307857838669</v>
      </c>
      <c r="B198" s="28">
        <v>197</v>
      </c>
    </row>
    <row r="199" spans="1:2" x14ac:dyDescent="0.3">
      <c r="A199" s="28">
        <v>38.074518576395448</v>
      </c>
      <c r="B199" s="28">
        <v>198</v>
      </c>
    </row>
    <row r="200" spans="1:2" x14ac:dyDescent="0.3">
      <c r="A200" s="28">
        <v>50.689314516525869</v>
      </c>
      <c r="B200" s="28">
        <v>199</v>
      </c>
    </row>
    <row r="201" spans="1:2" x14ac:dyDescent="0.3">
      <c r="A201" s="28">
        <v>34.987226948565329</v>
      </c>
      <c r="B201" s="28">
        <v>200</v>
      </c>
    </row>
    <row r="202" spans="1:2" x14ac:dyDescent="0.3">
      <c r="A202" s="28">
        <v>38.656471298942058</v>
      </c>
      <c r="B202" s="28">
        <v>201</v>
      </c>
    </row>
    <row r="203" spans="1:2" x14ac:dyDescent="0.3">
      <c r="A203" s="28">
        <v>32.39613821999226</v>
      </c>
      <c r="B203" s="28">
        <v>202</v>
      </c>
    </row>
    <row r="204" spans="1:2" x14ac:dyDescent="0.3">
      <c r="A204" s="28">
        <v>29.541197120717968</v>
      </c>
      <c r="B204" s="28">
        <v>203</v>
      </c>
    </row>
    <row r="205" spans="1:2" x14ac:dyDescent="0.3">
      <c r="A205" s="28">
        <v>51.804981973375128</v>
      </c>
      <c r="B205" s="28">
        <v>204</v>
      </c>
    </row>
    <row r="206" spans="1:2" x14ac:dyDescent="0.3">
      <c r="A206" s="28">
        <v>35.355001594779125</v>
      </c>
      <c r="B206" s="28">
        <v>205</v>
      </c>
    </row>
    <row r="207" spans="1:2" x14ac:dyDescent="0.3">
      <c r="A207" s="28">
        <v>52.039011693471423</v>
      </c>
      <c r="B207" s="28">
        <v>206</v>
      </c>
    </row>
    <row r="208" spans="1:2" x14ac:dyDescent="0.3">
      <c r="A208" s="28">
        <v>55.038852776167658</v>
      </c>
      <c r="B208" s="28">
        <v>207</v>
      </c>
    </row>
    <row r="209" spans="1:2" x14ac:dyDescent="0.3">
      <c r="A209" s="28">
        <v>46.08080099460593</v>
      </c>
      <c r="B209" s="28">
        <v>208</v>
      </c>
    </row>
    <row r="210" spans="1:2" x14ac:dyDescent="0.3">
      <c r="A210" s="28">
        <v>52.678529567657577</v>
      </c>
      <c r="B210" s="28">
        <v>209</v>
      </c>
    </row>
    <row r="211" spans="1:2" x14ac:dyDescent="0.3">
      <c r="A211" s="28">
        <v>62.973766981390817</v>
      </c>
      <c r="B211" s="28">
        <v>210</v>
      </c>
    </row>
    <row r="212" spans="1:2" x14ac:dyDescent="0.3">
      <c r="A212" s="28">
        <v>43.014140119444306</v>
      </c>
      <c r="B212" s="28">
        <v>211</v>
      </c>
    </row>
    <row r="213" spans="1:2" x14ac:dyDescent="0.3">
      <c r="A213" s="28">
        <v>37.933252237409327</v>
      </c>
      <c r="B213" s="28">
        <v>212</v>
      </c>
    </row>
    <row r="214" spans="1:2" x14ac:dyDescent="0.3">
      <c r="A214" s="28">
        <v>30.104299691620383</v>
      </c>
      <c r="B214" s="28">
        <v>213</v>
      </c>
    </row>
    <row r="215" spans="1:2" x14ac:dyDescent="0.3">
      <c r="A215" s="28">
        <v>63.243779864320103</v>
      </c>
      <c r="B215" s="28">
        <v>214</v>
      </c>
    </row>
    <row r="216" spans="1:2" x14ac:dyDescent="0.3">
      <c r="A216" s="28">
        <v>48.977923974990574</v>
      </c>
      <c r="B216" s="28">
        <v>215</v>
      </c>
    </row>
    <row r="217" spans="1:2" x14ac:dyDescent="0.3">
      <c r="A217" s="28">
        <v>38.921580365748355</v>
      </c>
      <c r="B217" s="28">
        <v>216</v>
      </c>
    </row>
    <row r="218" spans="1:2" x14ac:dyDescent="0.3">
      <c r="A218" s="28">
        <v>52.977435389664848</v>
      </c>
      <c r="B218" s="28">
        <v>217</v>
      </c>
    </row>
    <row r="219" spans="1:2" x14ac:dyDescent="0.3">
      <c r="A219" s="28">
        <v>42.982105016259759</v>
      </c>
      <c r="B219" s="28">
        <v>218</v>
      </c>
    </row>
    <row r="220" spans="1:2" x14ac:dyDescent="0.3">
      <c r="A220" s="28">
        <v>42.341118347900661</v>
      </c>
      <c r="B220" s="28">
        <v>219</v>
      </c>
    </row>
    <row r="221" spans="1:2" x14ac:dyDescent="0.3">
      <c r="A221" s="28">
        <v>45.30496917157258</v>
      </c>
      <c r="B221" s="28">
        <v>220</v>
      </c>
    </row>
    <row r="222" spans="1:2" x14ac:dyDescent="0.3">
      <c r="A222" s="28">
        <v>30.31469568046424</v>
      </c>
      <c r="B222" s="28">
        <v>221</v>
      </c>
    </row>
    <row r="223" spans="1:2" x14ac:dyDescent="0.3">
      <c r="A223" s="28">
        <v>55.041770270536176</v>
      </c>
      <c r="B223" s="28">
        <v>222</v>
      </c>
    </row>
    <row r="224" spans="1:2" x14ac:dyDescent="0.3">
      <c r="A224" s="28">
        <v>50.464453162353827</v>
      </c>
      <c r="B224" s="28">
        <v>223</v>
      </c>
    </row>
    <row r="225" spans="1:2" x14ac:dyDescent="0.3">
      <c r="A225" s="28">
        <v>25.119860153380209</v>
      </c>
      <c r="B225" s="28">
        <v>224</v>
      </c>
    </row>
    <row r="226" spans="1:2" x14ac:dyDescent="0.3">
      <c r="A226" s="28">
        <v>31.9166175929536</v>
      </c>
      <c r="B226" s="28">
        <v>225</v>
      </c>
    </row>
    <row r="227" spans="1:2" x14ac:dyDescent="0.3">
      <c r="A227" s="28">
        <v>51.227711662954917</v>
      </c>
      <c r="B227" s="28">
        <v>226</v>
      </c>
    </row>
    <row r="228" spans="1:2" x14ac:dyDescent="0.3">
      <c r="A228" s="28">
        <v>47.961934192456617</v>
      </c>
      <c r="B228" s="28">
        <v>227</v>
      </c>
    </row>
    <row r="229" spans="1:2" x14ac:dyDescent="0.3">
      <c r="A229" s="28">
        <v>44.841013550478422</v>
      </c>
      <c r="B229" s="28">
        <v>228</v>
      </c>
    </row>
    <row r="230" spans="1:2" x14ac:dyDescent="0.3">
      <c r="A230" s="28">
        <v>50.724654184845072</v>
      </c>
      <c r="B230" s="28">
        <v>229</v>
      </c>
    </row>
    <row r="231" spans="1:2" x14ac:dyDescent="0.3">
      <c r="A231" s="28">
        <v>53.918781123273078</v>
      </c>
      <c r="B231" s="28">
        <v>230</v>
      </c>
    </row>
    <row r="232" spans="1:2" x14ac:dyDescent="0.3">
      <c r="A232" s="28">
        <v>26.821947460090666</v>
      </c>
      <c r="B232" s="28">
        <v>231</v>
      </c>
    </row>
    <row r="233" spans="1:2" x14ac:dyDescent="0.3">
      <c r="A233" s="28">
        <v>47.770490232046669</v>
      </c>
      <c r="B233" s="28">
        <v>232</v>
      </c>
    </row>
    <row r="234" spans="1:2" x14ac:dyDescent="0.3">
      <c r="A234" s="28">
        <v>46.541696178252757</v>
      </c>
      <c r="B234" s="28">
        <v>233</v>
      </c>
    </row>
    <row r="235" spans="1:2" x14ac:dyDescent="0.3">
      <c r="A235" s="28">
        <v>33.952990635075004</v>
      </c>
      <c r="B235" s="28">
        <v>234</v>
      </c>
    </row>
    <row r="236" spans="1:2" x14ac:dyDescent="0.3">
      <c r="A236" s="28">
        <v>53.807220529591746</v>
      </c>
      <c r="B236" s="28">
        <v>235</v>
      </c>
    </row>
    <row r="237" spans="1:2" x14ac:dyDescent="0.3">
      <c r="A237" s="28">
        <v>54.893907637187425</v>
      </c>
      <c r="B237" s="28">
        <v>236</v>
      </c>
    </row>
    <row r="238" spans="1:2" x14ac:dyDescent="0.3">
      <c r="A238" s="28">
        <v>40.691717562173388</v>
      </c>
      <c r="B238" s="28">
        <v>237</v>
      </c>
    </row>
    <row r="239" spans="1:2" x14ac:dyDescent="0.3">
      <c r="A239" s="28">
        <v>44.558848655838261</v>
      </c>
      <c r="B239" s="28">
        <v>238</v>
      </c>
    </row>
    <row r="240" spans="1:2" x14ac:dyDescent="0.3">
      <c r="A240" s="28">
        <v>33.795463555870263</v>
      </c>
      <c r="B240" s="28">
        <v>239</v>
      </c>
    </row>
    <row r="241" spans="1:2" x14ac:dyDescent="0.3">
      <c r="A241" s="28">
        <v>43.875253645846797</v>
      </c>
      <c r="B241" s="28">
        <v>240</v>
      </c>
    </row>
    <row r="242" spans="1:2" x14ac:dyDescent="0.3">
      <c r="A242" s="28">
        <v>40.91545662786514</v>
      </c>
      <c r="B242" s="28">
        <v>241</v>
      </c>
    </row>
    <row r="243" spans="1:2" x14ac:dyDescent="0.3">
      <c r="A243" s="28">
        <v>46.89853761299856</v>
      </c>
      <c r="B243" s="28">
        <v>242</v>
      </c>
    </row>
    <row r="244" spans="1:2" x14ac:dyDescent="0.3">
      <c r="A244" s="28">
        <v>28.209204177086111</v>
      </c>
      <c r="B244" s="28">
        <v>243</v>
      </c>
    </row>
    <row r="245" spans="1:2" x14ac:dyDescent="0.3">
      <c r="A245" s="28">
        <v>50.700413753268073</v>
      </c>
      <c r="B245" s="28">
        <v>244</v>
      </c>
    </row>
    <row r="246" spans="1:2" x14ac:dyDescent="0.3">
      <c r="A246" s="28">
        <v>42.917618706694725</v>
      </c>
      <c r="B246" s="28">
        <v>245</v>
      </c>
    </row>
    <row r="247" spans="1:2" x14ac:dyDescent="0.3">
      <c r="A247" s="28">
        <v>67.507229752913616</v>
      </c>
      <c r="B247" s="28">
        <v>246</v>
      </c>
    </row>
    <row r="248" spans="1:2" x14ac:dyDescent="0.3">
      <c r="A248" s="28">
        <v>28.345466995209165</v>
      </c>
      <c r="B248" s="28">
        <v>247</v>
      </c>
    </row>
    <row r="249" spans="1:2" x14ac:dyDescent="0.3">
      <c r="A249" s="28">
        <v>45.341733869162809</v>
      </c>
      <c r="B249" s="28">
        <v>248</v>
      </c>
    </row>
    <row r="250" spans="1:2" x14ac:dyDescent="0.3">
      <c r="A250" s="28">
        <v>47.054908588043027</v>
      </c>
      <c r="B250" s="28">
        <v>249</v>
      </c>
    </row>
    <row r="251" spans="1:2" x14ac:dyDescent="0.3">
      <c r="A251" s="28">
        <v>33.804908221881291</v>
      </c>
      <c r="B251" s="28">
        <v>250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Parameters</vt:lpstr>
      <vt:lpstr>Data</vt:lpstr>
      <vt:lpstr>Sample</vt:lpstr>
      <vt:lpstr>Statistical Insight</vt:lpstr>
      <vt:lpstr>(Un)correlated Variables</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Bergonzoni</dc:creator>
  <cp:lastModifiedBy>Martina Bergonzoni</cp:lastModifiedBy>
  <dcterms:created xsi:type="dcterms:W3CDTF">2025-04-10T11:13:07Z</dcterms:created>
  <dcterms:modified xsi:type="dcterms:W3CDTF">2025-04-15T13:15:19Z</dcterms:modified>
</cp:coreProperties>
</file>